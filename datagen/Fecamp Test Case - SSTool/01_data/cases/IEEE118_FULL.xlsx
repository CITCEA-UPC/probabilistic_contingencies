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Fecamp Test Case - SSTool\01_data\cases\"/>
    </mc:Choice>
  </mc:AlternateContent>
  <xr:revisionPtr revIDLastSave="0" documentId="13_ncr:1_{7CF0B3FA-39F3-47ED-90DB-66D38817A728}" xr6:coauthVersionLast="36" xr6:coauthVersionMax="47" xr10:uidLastSave="{00000000-0000-0000-0000-000000000000}"/>
  <bookViews>
    <workbookView xWindow="-28800" yWindow="1455" windowWidth="28800" windowHeight="17505" tabRatio="922" firstSheet="1" activeTab="7" xr2:uid="{00000000-000D-0000-FFFF-FFFF00000000}"/>
  </bookViews>
  <sheets>
    <sheet name="global" sheetId="1" r:id="rId1"/>
    <sheet name="AC-NET" sheetId="3" r:id="rId2"/>
    <sheet name="DC-NET" sheetId="10" r:id="rId3"/>
    <sheet name="trafo" sheetId="7" r:id="rId4"/>
    <sheet name="load" sheetId="2" r:id="rId5"/>
    <sheet name="TH" sheetId="8" r:id="rId6"/>
    <sheet name="SG" sheetId="4" r:id="rId7"/>
    <sheet name="VSC" sheetId="14" r:id="rId8"/>
    <sheet name="MMC" sheetId="18" r:id="rId9"/>
    <sheet name="b2b" sheetId="13" r:id="rId10"/>
    <sheet name="user" sheetId="15" r:id="rId11"/>
    <sheet name="PF" sheetId="16" r:id="rId12"/>
    <sheet name="CASE" sheetId="19" r:id="rId13"/>
    <sheet name="sim" sheetId="17" r:id="rId14"/>
  </sheets>
  <calcPr calcId="191029"/>
</workbook>
</file>

<file path=xl/calcChain.xml><?xml version="1.0" encoding="utf-8"?>
<calcChain xmlns="http://schemas.openxmlformats.org/spreadsheetml/2006/main">
  <c r="A4" i="7" l="1"/>
  <c r="A5" i="7"/>
  <c r="A6" i="7" s="1"/>
  <c r="A7" i="7" s="1"/>
  <c r="A8" i="7" s="1"/>
  <c r="A9" i="7" s="1"/>
  <c r="A10" i="7" s="1"/>
  <c r="A3" i="7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3" i="3"/>
</calcChain>
</file>

<file path=xl/sharedStrings.xml><?xml version="1.0" encoding="utf-8"?>
<sst xmlns="http://schemas.openxmlformats.org/spreadsheetml/2006/main" count="360" uniqueCount="95">
  <si>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</si>
  <si>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</si>
  <si>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</si>
  <si>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</si>
  <si>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</si>
  <si>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</si>
  <si>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</si>
  <si>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</si>
  <si>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</si>
  <si>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</si>
  <si>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</si>
  <si>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</si>
  <si>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</si>
  <si>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</si>
  <si>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</si>
  <si>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</si>
  <si>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</si>
  <si>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</si>
  <si>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</si>
  <si>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</si>
  <si>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</si>
  <si>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</si>
  <si>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</si>
  <si>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</si>
  <si>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</si>
  <si>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</si>
  <si>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</si>
  <si>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</si>
  <si>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</si>
  <si>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</si>
  <si>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</si>
  <si>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</si>
  <si>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</si>
  <si>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</si>
  <si>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</si>
  <si>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</si>
  <si>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</si>
  <si>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</si>
  <si>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</si>
  <si>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</si>
  <si>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</si>
  <si>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</si>
  <si>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</si>
  <si>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</si>
  <si>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</si>
  <si>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</si>
  <si>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</si>
  <si>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</si>
  <si>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</si>
  <si>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</si>
  <si>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</si>
  <si>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</si>
  <si>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</si>
  <si>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</si>
  <si>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</si>
  <si>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</si>
  <si>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</si>
  <si>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</si>
  <si>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</si>
  <si>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</si>
  <si>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</si>
  <si>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</si>
  <si>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</si>
  <si>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</si>
  <si>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</si>
  <si>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</si>
  <si>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</si>
  <si>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</si>
  <si>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</si>
  <si>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</si>
  <si>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</si>
  <si>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</si>
  <si>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</si>
  <si>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</si>
  <si>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</si>
  <si>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</si>
  <si>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</si>
  <si>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</si>
  <si>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</si>
  <si>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</si>
  <si>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AC4A</t>
  </si>
  <si>
    <t>no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</si>
  <si>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</si>
  <si>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</si>
  <si>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</si>
  <si>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</si>
  <si>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</si>
  <si>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</si>
  <si>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</si>
  <si>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</si>
  <si>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</si>
  <si>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PQ</t>
  </si>
  <si>
    <t>IEEEG1</t>
  </si>
  <si>
    <t>ode1'</t>
  </si>
  <si>
    <t>Undefinded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</si>
</sst>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</numFmts>
  <fonts count="5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2" fillId="0" borderId="0" xfId="0" applyNumberFormat="1" applyFont="1" applyFill="1"/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2" fontId="2" fillId="0" borderId="0" xfId="0" applyNumberFormat="1" applyFont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  <xf numFmtId="0" fontId="1" fillId="0" borderId="0" xfId="0" applyFont="1" applyFill="1"/>
    <xf numFmtId="2" fontId="2" fillId="0" borderId="0" xfId="0" applyNumberFormat="1" applyFont="1" applyFill="1"/>
    <xf numFmtId="1" fontId="2" fillId="0" borderId="0" xfId="0" applyNumberFormat="1" applyFont="1" applyFill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I9" sqref="I9"/>
    </sheetView>
  </sheetViews>
  <sheetFormatPr defaultColWidth="8.7109375" defaultRowHeight="12.75" x14ac:dyDescent="0.2"/>
  <cols>
    <col min="1" max="5" width="8.7109375" style="7"/>
    <col min="6" max="6" width="10.140625" style="7" bestFit="1" customWidth="1"/>
    <col min="7" max="16384" width="8.7109375" style="7"/>
  </cols>
  <sheetData>
    <row r="1" spans="1:6" s="28" customFormat="1" x14ac:dyDescent="0.2">
      <c r="A1" s="21" t="s">
        <v>58</v>
      </c>
      <c r="B1" s="21" t="s">
        <v>49</v>
      </c>
      <c r="C1" s="21" t="s">
        <v>7</v>
      </c>
      <c r="D1" s="21" t="s">
        <v>8</v>
      </c>
      <c r="E1" s="21" t="s">
        <v>72</v>
      </c>
      <c r="F1" s="21" t="s">
        <v>78</v>
      </c>
    </row>
    <row r="2" spans="1:6" x14ac:dyDescent="0.2">
      <c r="A2" s="7">
        <v>1</v>
      </c>
      <c r="B2" s="7">
        <v>138</v>
      </c>
      <c r="C2" s="7">
        <v>100</v>
      </c>
      <c r="D2" s="7">
        <v>50</v>
      </c>
      <c r="E2" s="8">
        <v>80</v>
      </c>
      <c r="F2" s="7" t="s">
        <v>55</v>
      </c>
    </row>
    <row r="3" spans="1:6" x14ac:dyDescent="0.2">
      <c r="A3" s="7">
        <v>2</v>
      </c>
      <c r="B3" s="7">
        <v>345</v>
      </c>
      <c r="C3" s="7">
        <v>100</v>
      </c>
      <c r="D3" s="7">
        <v>50</v>
      </c>
      <c r="E3" s="7">
        <v>8</v>
      </c>
      <c r="F3" s="7" t="s">
        <v>94</v>
      </c>
    </row>
    <row r="5" spans="1:6" ht="14.25" customHeight="1" x14ac:dyDescent="0.2"/>
    <row r="7" spans="1:6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6"/>
  <sheetViews>
    <sheetView zoomScaleNormal="100" workbookViewId="0">
      <selection activeCell="A166" sqref="A166"/>
    </sheetView>
  </sheetViews>
  <sheetFormatPr defaultColWidth="8.7109375" defaultRowHeight="12.75" x14ac:dyDescent="0.2"/>
  <cols>
    <col min="1" max="16384" width="8.7109375" style="1"/>
  </cols>
  <sheetData>
    <row r="1" spans="1:7" s="19" customFormat="1" x14ac:dyDescent="0.2">
      <c r="A1" s="32" t="s">
        <v>23</v>
      </c>
      <c r="B1" s="32" t="s">
        <v>1</v>
      </c>
      <c r="C1" s="32" t="s">
        <v>2</v>
      </c>
      <c r="D1" s="32" t="s">
        <v>9</v>
      </c>
      <c r="E1" s="32" t="s">
        <v>13</v>
      </c>
      <c r="F1" s="32" t="s">
        <v>22</v>
      </c>
      <c r="G1" s="32" t="s">
        <v>77</v>
      </c>
    </row>
    <row r="2" spans="1:7" x14ac:dyDescent="0.2">
      <c r="A2" s="1">
        <v>1</v>
      </c>
      <c r="B2" s="1">
        <v>1</v>
      </c>
      <c r="C2" s="1">
        <v>2</v>
      </c>
      <c r="D2" s="1">
        <v>3.0300000000000001E-2</v>
      </c>
      <c r="E2" s="1">
        <v>9.9900000000000003E-2</v>
      </c>
      <c r="F2" s="1">
        <v>2.5399999999999999E-2</v>
      </c>
      <c r="G2" s="1">
        <v>1</v>
      </c>
    </row>
    <row r="3" spans="1:7" x14ac:dyDescent="0.2">
      <c r="A3" s="1">
        <f>A2+1</f>
        <v>2</v>
      </c>
      <c r="B3" s="1">
        <v>1</v>
      </c>
      <c r="C3" s="1">
        <v>3</v>
      </c>
      <c r="D3" s="1">
        <v>1.29E-2</v>
      </c>
      <c r="E3" s="1">
        <v>4.24E-2</v>
      </c>
      <c r="F3" s="1">
        <v>1.082E-2</v>
      </c>
      <c r="G3" s="1">
        <v>1</v>
      </c>
    </row>
    <row r="4" spans="1:7" x14ac:dyDescent="0.2">
      <c r="A4" s="1">
        <f t="shared" ref="A4:A67" si="0">A3+1</f>
        <v>3</v>
      </c>
      <c r="B4" s="1">
        <v>2</v>
      </c>
      <c r="C4" s="1">
        <v>12</v>
      </c>
      <c r="D4" s="1">
        <v>1.8700000000000001E-2</v>
      </c>
      <c r="E4" s="1">
        <v>6.1600000000000002E-2</v>
      </c>
      <c r="F4" s="1">
        <v>1.5720000000000001E-2</v>
      </c>
      <c r="G4" s="1">
        <v>1</v>
      </c>
    </row>
    <row r="5" spans="1:7" x14ac:dyDescent="0.2">
      <c r="A5" s="1">
        <f t="shared" si="0"/>
        <v>4</v>
      </c>
      <c r="B5" s="1">
        <v>3</v>
      </c>
      <c r="C5" s="1">
        <v>5</v>
      </c>
      <c r="D5" s="1">
        <v>2.41E-2</v>
      </c>
      <c r="E5" s="1">
        <v>0.108</v>
      </c>
      <c r="F5" s="1">
        <v>2.8400000000000002E-2</v>
      </c>
      <c r="G5" s="1">
        <v>1</v>
      </c>
    </row>
    <row r="6" spans="1:7" x14ac:dyDescent="0.2">
      <c r="A6" s="1">
        <f t="shared" si="0"/>
        <v>5</v>
      </c>
      <c r="B6" s="1">
        <v>3</v>
      </c>
      <c r="C6" s="1">
        <v>12</v>
      </c>
      <c r="D6" s="1">
        <v>4.8399999999999999E-2</v>
      </c>
      <c r="E6" s="1">
        <v>0.16</v>
      </c>
      <c r="F6" s="1">
        <v>4.0599999999999997E-2</v>
      </c>
      <c r="G6" s="1">
        <v>1</v>
      </c>
    </row>
    <row r="7" spans="1:7" x14ac:dyDescent="0.2">
      <c r="A7" s="1">
        <f t="shared" si="0"/>
        <v>6</v>
      </c>
      <c r="B7" s="1">
        <v>4</v>
      </c>
      <c r="C7" s="1">
        <v>5</v>
      </c>
      <c r="D7" s="1">
        <v>1.7600000000000001E-3</v>
      </c>
      <c r="E7" s="1">
        <v>7.9799999999999992E-3</v>
      </c>
      <c r="F7" s="1">
        <v>2.0999999999999999E-3</v>
      </c>
      <c r="G7" s="1">
        <v>1</v>
      </c>
    </row>
    <row r="8" spans="1:7" x14ac:dyDescent="0.2">
      <c r="A8" s="1">
        <f t="shared" si="0"/>
        <v>7</v>
      </c>
      <c r="B8" s="1">
        <v>4</v>
      </c>
      <c r="C8" s="1">
        <v>11</v>
      </c>
      <c r="D8" s="1">
        <v>2.0899999999999998E-2</v>
      </c>
      <c r="E8" s="1">
        <v>6.88E-2</v>
      </c>
      <c r="F8" s="1">
        <v>1.7479999999999999E-2</v>
      </c>
      <c r="G8" s="1">
        <v>1</v>
      </c>
    </row>
    <row r="9" spans="1:7" x14ac:dyDescent="0.2">
      <c r="A9" s="1">
        <f t="shared" si="0"/>
        <v>8</v>
      </c>
      <c r="B9" s="1">
        <v>5</v>
      </c>
      <c r="C9" s="1">
        <v>6</v>
      </c>
      <c r="D9" s="1">
        <v>1.1900000000000001E-2</v>
      </c>
      <c r="E9" s="1">
        <v>5.3999999999999999E-2</v>
      </c>
      <c r="F9" s="1">
        <v>1.426E-2</v>
      </c>
      <c r="G9" s="1">
        <v>1</v>
      </c>
    </row>
    <row r="10" spans="1:7" x14ac:dyDescent="0.2">
      <c r="A10" s="1">
        <f t="shared" si="0"/>
        <v>9</v>
      </c>
      <c r="B10" s="2">
        <v>5</v>
      </c>
      <c r="C10" s="2">
        <v>11</v>
      </c>
      <c r="D10" s="1">
        <v>2.0299999999999999E-2</v>
      </c>
      <c r="E10" s="1">
        <v>6.8199999999999997E-2</v>
      </c>
      <c r="F10" s="1">
        <v>1.738E-2</v>
      </c>
      <c r="G10" s="1">
        <v>1</v>
      </c>
    </row>
    <row r="11" spans="1:7" x14ac:dyDescent="0.2">
      <c r="A11" s="1">
        <f t="shared" si="0"/>
        <v>10</v>
      </c>
      <c r="B11" s="2">
        <v>6</v>
      </c>
      <c r="C11" s="2">
        <v>7</v>
      </c>
      <c r="D11" s="1">
        <v>4.5900000000000003E-3</v>
      </c>
      <c r="E11" s="1">
        <v>2.0799999999999999E-2</v>
      </c>
      <c r="F11" s="1">
        <v>5.4999999999999997E-3</v>
      </c>
      <c r="G11" s="1">
        <v>1</v>
      </c>
    </row>
    <row r="12" spans="1:7" x14ac:dyDescent="0.2">
      <c r="A12" s="1">
        <f t="shared" si="0"/>
        <v>11</v>
      </c>
      <c r="B12" s="2">
        <v>7</v>
      </c>
      <c r="C12" s="2">
        <v>12</v>
      </c>
      <c r="D12" s="1">
        <v>8.6199999999999992E-3</v>
      </c>
      <c r="E12" s="1">
        <v>3.4000000000000002E-2</v>
      </c>
      <c r="F12" s="1">
        <v>8.7399999999999995E-3</v>
      </c>
      <c r="G12" s="1">
        <v>1</v>
      </c>
    </row>
    <row r="13" spans="1:7" x14ac:dyDescent="0.2">
      <c r="A13" s="1">
        <f t="shared" si="0"/>
        <v>12</v>
      </c>
      <c r="B13" s="2">
        <v>8</v>
      </c>
      <c r="C13" s="2">
        <v>30</v>
      </c>
      <c r="D13" s="1">
        <v>4.3099999999999996E-3</v>
      </c>
      <c r="E13" s="1">
        <v>5.04E-2</v>
      </c>
      <c r="F13" s="1">
        <v>0.51400000000000001</v>
      </c>
      <c r="G13" s="1">
        <v>1</v>
      </c>
    </row>
    <row r="14" spans="1:7" x14ac:dyDescent="0.2">
      <c r="A14" s="1">
        <f t="shared" si="0"/>
        <v>13</v>
      </c>
      <c r="B14" s="2">
        <v>11</v>
      </c>
      <c r="C14" s="2">
        <v>12</v>
      </c>
      <c r="D14" s="2">
        <v>5.9500000000000004E-3</v>
      </c>
      <c r="E14" s="2">
        <v>1.9599999999999999E-2</v>
      </c>
      <c r="F14" s="2">
        <v>5.0200000000000002E-3</v>
      </c>
      <c r="G14" s="1">
        <v>1</v>
      </c>
    </row>
    <row r="15" spans="1:7" x14ac:dyDescent="0.2">
      <c r="A15" s="1">
        <f t="shared" si="0"/>
        <v>14</v>
      </c>
      <c r="B15" s="2">
        <v>11</v>
      </c>
      <c r="C15" s="2">
        <v>13</v>
      </c>
      <c r="D15" s="2">
        <v>2.2249999999999999E-2</v>
      </c>
      <c r="E15" s="2">
        <v>7.3099999999999998E-2</v>
      </c>
      <c r="F15" s="2">
        <v>1.8759999999999999E-2</v>
      </c>
      <c r="G15" s="1">
        <v>1</v>
      </c>
    </row>
    <row r="16" spans="1:7" x14ac:dyDescent="0.2">
      <c r="A16" s="1">
        <f t="shared" si="0"/>
        <v>15</v>
      </c>
      <c r="B16" s="2">
        <v>12</v>
      </c>
      <c r="C16" s="2">
        <v>14</v>
      </c>
      <c r="D16" s="2">
        <v>2.1499999999999998E-2</v>
      </c>
      <c r="E16" s="2">
        <v>7.0699999999999999E-2</v>
      </c>
      <c r="F16" s="2">
        <v>1.8159999999999999E-2</v>
      </c>
      <c r="G16" s="1">
        <v>1</v>
      </c>
    </row>
    <row r="17" spans="1:7" x14ac:dyDescent="0.2">
      <c r="A17" s="1">
        <f t="shared" si="0"/>
        <v>16</v>
      </c>
      <c r="B17" s="2">
        <v>12</v>
      </c>
      <c r="C17" s="2">
        <v>16</v>
      </c>
      <c r="D17" s="2">
        <v>2.12E-2</v>
      </c>
      <c r="E17" s="2">
        <v>8.3400000000000002E-2</v>
      </c>
      <c r="F17" s="2">
        <v>2.1399999999999999E-2</v>
      </c>
      <c r="G17" s="1">
        <v>1</v>
      </c>
    </row>
    <row r="18" spans="1:7" x14ac:dyDescent="0.2">
      <c r="A18" s="1">
        <f t="shared" si="0"/>
        <v>17</v>
      </c>
      <c r="B18" s="2">
        <v>12</v>
      </c>
      <c r="C18" s="2">
        <v>117</v>
      </c>
      <c r="D18" s="2">
        <v>3.2899999999999999E-2</v>
      </c>
      <c r="E18" s="2">
        <v>0.14000000000000001</v>
      </c>
      <c r="F18" s="2">
        <v>3.5799999999999998E-2</v>
      </c>
      <c r="G18" s="1">
        <v>1</v>
      </c>
    </row>
    <row r="19" spans="1:7" x14ac:dyDescent="0.2">
      <c r="A19" s="1">
        <f t="shared" si="0"/>
        <v>18</v>
      </c>
      <c r="B19" s="2">
        <v>13</v>
      </c>
      <c r="C19" s="2">
        <v>15</v>
      </c>
      <c r="D19" s="2">
        <v>7.4399999999999994E-2</v>
      </c>
      <c r="E19" s="2">
        <v>0.24440000000000001</v>
      </c>
      <c r="F19" s="2">
        <v>6.268E-2</v>
      </c>
      <c r="G19" s="1">
        <v>1</v>
      </c>
    </row>
    <row r="20" spans="1:7" x14ac:dyDescent="0.2">
      <c r="A20" s="1">
        <f t="shared" si="0"/>
        <v>19</v>
      </c>
      <c r="B20" s="2">
        <v>14</v>
      </c>
      <c r="C20" s="2">
        <v>15</v>
      </c>
      <c r="D20" s="2">
        <v>5.9499999999999997E-2</v>
      </c>
      <c r="E20" s="2">
        <v>0.19500000000000001</v>
      </c>
      <c r="F20" s="2">
        <v>5.0200000000000002E-2</v>
      </c>
      <c r="G20" s="1">
        <v>1</v>
      </c>
    </row>
    <row r="21" spans="1:7" x14ac:dyDescent="0.2">
      <c r="A21" s="1">
        <f t="shared" si="0"/>
        <v>20</v>
      </c>
      <c r="B21" s="2">
        <v>15</v>
      </c>
      <c r="C21" s="2">
        <v>17</v>
      </c>
      <c r="D21" s="2">
        <v>1.32E-2</v>
      </c>
      <c r="E21" s="2">
        <v>4.3700000000000003E-2</v>
      </c>
      <c r="F21" s="2">
        <v>4.4400000000000002E-2</v>
      </c>
      <c r="G21" s="1">
        <v>1</v>
      </c>
    </row>
    <row r="22" spans="1:7" x14ac:dyDescent="0.2">
      <c r="A22" s="1">
        <f t="shared" si="0"/>
        <v>21</v>
      </c>
      <c r="B22" s="2">
        <v>15</v>
      </c>
      <c r="C22" s="2">
        <v>19</v>
      </c>
      <c r="D22" s="2">
        <v>1.2E-2</v>
      </c>
      <c r="E22" s="2">
        <v>3.9399999999999998E-2</v>
      </c>
      <c r="F22" s="2">
        <v>1.01E-2</v>
      </c>
      <c r="G22" s="1">
        <v>1</v>
      </c>
    </row>
    <row r="23" spans="1:7" x14ac:dyDescent="0.2">
      <c r="A23" s="1">
        <f t="shared" si="0"/>
        <v>22</v>
      </c>
      <c r="B23" s="2">
        <v>15</v>
      </c>
      <c r="C23" s="2">
        <v>33</v>
      </c>
      <c r="D23" s="2">
        <v>3.7999999999999999E-2</v>
      </c>
      <c r="E23" s="2">
        <v>0.1244</v>
      </c>
      <c r="F23" s="2">
        <v>3.1940000000000003E-2</v>
      </c>
      <c r="G23" s="1">
        <v>1</v>
      </c>
    </row>
    <row r="24" spans="1:7" x14ac:dyDescent="0.2">
      <c r="A24" s="1">
        <f t="shared" si="0"/>
        <v>23</v>
      </c>
      <c r="B24" s="2">
        <v>16</v>
      </c>
      <c r="C24" s="2">
        <v>17</v>
      </c>
      <c r="D24" s="2">
        <v>4.5400000000000003E-2</v>
      </c>
      <c r="E24" s="2">
        <v>0.18010000000000001</v>
      </c>
      <c r="F24" s="2">
        <v>4.6600000000000003E-2</v>
      </c>
      <c r="G24" s="1">
        <v>1</v>
      </c>
    </row>
    <row r="25" spans="1:7" x14ac:dyDescent="0.2">
      <c r="A25" s="1">
        <f t="shared" si="0"/>
        <v>24</v>
      </c>
      <c r="B25" s="2">
        <v>17</v>
      </c>
      <c r="C25" s="2">
        <v>18</v>
      </c>
      <c r="D25" s="2">
        <v>1.23E-2</v>
      </c>
      <c r="E25" s="2">
        <v>5.0500000000000003E-2</v>
      </c>
      <c r="F25" s="2">
        <v>1.298E-2</v>
      </c>
      <c r="G25" s="1">
        <v>1</v>
      </c>
    </row>
    <row r="26" spans="1:7" x14ac:dyDescent="0.2">
      <c r="A26" s="1">
        <f t="shared" si="0"/>
        <v>25</v>
      </c>
      <c r="B26" s="2">
        <v>17</v>
      </c>
      <c r="C26" s="2">
        <v>31</v>
      </c>
      <c r="D26" s="2">
        <v>4.7399999999999998E-2</v>
      </c>
      <c r="E26" s="2">
        <v>0.15629999999999999</v>
      </c>
      <c r="F26" s="2">
        <v>3.9899999999999998E-2</v>
      </c>
      <c r="G26" s="1">
        <v>1</v>
      </c>
    </row>
    <row r="27" spans="1:7" x14ac:dyDescent="0.2">
      <c r="A27" s="1">
        <f t="shared" si="0"/>
        <v>26</v>
      </c>
      <c r="B27" s="2">
        <v>17</v>
      </c>
      <c r="C27" s="2">
        <v>113</v>
      </c>
      <c r="D27" s="2">
        <v>9.1299999999999992E-3</v>
      </c>
      <c r="E27" s="2">
        <v>3.0099999999999998E-2</v>
      </c>
      <c r="F27" s="2">
        <v>7.6800000000000002E-3</v>
      </c>
      <c r="G27" s="1">
        <v>1</v>
      </c>
    </row>
    <row r="28" spans="1:7" x14ac:dyDescent="0.2">
      <c r="A28" s="1">
        <f t="shared" si="0"/>
        <v>27</v>
      </c>
      <c r="B28" s="1">
        <v>18</v>
      </c>
      <c r="C28" s="1">
        <v>19</v>
      </c>
      <c r="D28" s="1">
        <v>1.119E-2</v>
      </c>
      <c r="E28" s="1">
        <v>4.9299999999999997E-2</v>
      </c>
      <c r="F28" s="3">
        <v>1.142E-2</v>
      </c>
      <c r="G28" s="1">
        <v>1</v>
      </c>
    </row>
    <row r="29" spans="1:7" x14ac:dyDescent="0.2">
      <c r="A29" s="1">
        <f t="shared" si="0"/>
        <v>28</v>
      </c>
      <c r="B29" s="1">
        <v>19</v>
      </c>
      <c r="C29" s="1">
        <v>20</v>
      </c>
      <c r="D29" s="1">
        <v>2.52E-2</v>
      </c>
      <c r="E29" s="1">
        <v>0.11700000000000001</v>
      </c>
      <c r="F29" s="1">
        <v>2.98E-2</v>
      </c>
      <c r="G29" s="1">
        <v>1</v>
      </c>
    </row>
    <row r="30" spans="1:7" x14ac:dyDescent="0.2">
      <c r="A30" s="1">
        <f t="shared" si="0"/>
        <v>29</v>
      </c>
      <c r="B30" s="1">
        <v>19</v>
      </c>
      <c r="C30" s="1">
        <v>34</v>
      </c>
      <c r="D30" s="1">
        <v>7.5200000000000003E-2</v>
      </c>
      <c r="E30" s="1">
        <v>0.247</v>
      </c>
      <c r="F30" s="1">
        <v>6.3200000000000006E-2</v>
      </c>
      <c r="G30" s="1">
        <v>1</v>
      </c>
    </row>
    <row r="31" spans="1:7" x14ac:dyDescent="0.2">
      <c r="A31" s="1">
        <f t="shared" si="0"/>
        <v>30</v>
      </c>
      <c r="B31" s="1">
        <v>20</v>
      </c>
      <c r="C31" s="1">
        <v>21</v>
      </c>
      <c r="D31" s="1">
        <v>1.83E-2</v>
      </c>
      <c r="E31" s="1">
        <v>8.4900000000000003E-2</v>
      </c>
      <c r="F31" s="1">
        <v>2.1600000000000001E-2</v>
      </c>
      <c r="G31" s="1">
        <v>1</v>
      </c>
    </row>
    <row r="32" spans="1:7" x14ac:dyDescent="0.2">
      <c r="A32" s="1">
        <f t="shared" si="0"/>
        <v>31</v>
      </c>
      <c r="B32" s="1">
        <v>21</v>
      </c>
      <c r="C32" s="1">
        <v>22</v>
      </c>
      <c r="D32" s="1">
        <v>2.0899999999999998E-2</v>
      </c>
      <c r="E32" s="1">
        <v>9.7000000000000003E-2</v>
      </c>
      <c r="F32" s="1">
        <v>2.46E-2</v>
      </c>
      <c r="G32" s="1">
        <v>1</v>
      </c>
    </row>
    <row r="33" spans="1:7" x14ac:dyDescent="0.2">
      <c r="A33" s="1">
        <f t="shared" si="0"/>
        <v>32</v>
      </c>
      <c r="B33" s="1">
        <v>22</v>
      </c>
      <c r="C33" s="1">
        <v>23</v>
      </c>
      <c r="D33" s="1">
        <v>3.4200000000000001E-2</v>
      </c>
      <c r="E33" s="1">
        <v>0.159</v>
      </c>
      <c r="F33" s="1">
        <v>4.0399999999999998E-2</v>
      </c>
      <c r="G33" s="1">
        <v>1</v>
      </c>
    </row>
    <row r="34" spans="1:7" x14ac:dyDescent="0.2">
      <c r="A34" s="1">
        <f t="shared" si="0"/>
        <v>33</v>
      </c>
      <c r="B34" s="1">
        <v>23</v>
      </c>
      <c r="C34" s="1">
        <v>24</v>
      </c>
      <c r="D34" s="1">
        <v>1.35E-2</v>
      </c>
      <c r="E34" s="1">
        <v>4.9200000000000001E-2</v>
      </c>
      <c r="F34" s="1">
        <v>4.9799999999999997E-2</v>
      </c>
      <c r="G34" s="1">
        <v>1</v>
      </c>
    </row>
    <row r="35" spans="1:7" x14ac:dyDescent="0.2">
      <c r="A35" s="1">
        <f t="shared" si="0"/>
        <v>34</v>
      </c>
      <c r="B35" s="1">
        <v>23</v>
      </c>
      <c r="C35" s="1">
        <v>25</v>
      </c>
      <c r="D35" s="1">
        <v>1.5599999999999999E-2</v>
      </c>
      <c r="E35" s="1">
        <v>0.08</v>
      </c>
      <c r="F35" s="1">
        <v>8.6400000000000005E-2</v>
      </c>
      <c r="G35" s="1">
        <v>1</v>
      </c>
    </row>
    <row r="36" spans="1:7" x14ac:dyDescent="0.2">
      <c r="A36" s="1">
        <f t="shared" si="0"/>
        <v>35</v>
      </c>
      <c r="B36" s="1">
        <v>23</v>
      </c>
      <c r="C36" s="1">
        <v>32</v>
      </c>
      <c r="D36" s="1">
        <v>3.1699999999999999E-2</v>
      </c>
      <c r="E36" s="1">
        <v>0.1153</v>
      </c>
      <c r="F36" s="1">
        <v>0.1173</v>
      </c>
      <c r="G36" s="1">
        <v>1</v>
      </c>
    </row>
    <row r="37" spans="1:7" x14ac:dyDescent="0.2">
      <c r="A37" s="1">
        <f t="shared" si="0"/>
        <v>36</v>
      </c>
      <c r="B37" s="1">
        <v>24</v>
      </c>
      <c r="C37" s="1">
        <v>70</v>
      </c>
      <c r="D37" s="1">
        <v>2.2100000000000002E-3</v>
      </c>
      <c r="E37" s="1">
        <v>0.41149999999999998</v>
      </c>
      <c r="F37" s="1">
        <v>0.10198</v>
      </c>
      <c r="G37" s="1">
        <v>1</v>
      </c>
    </row>
    <row r="38" spans="1:7" x14ac:dyDescent="0.2">
      <c r="A38" s="1">
        <f t="shared" si="0"/>
        <v>37</v>
      </c>
      <c r="B38" s="1">
        <v>24</v>
      </c>
      <c r="C38" s="1">
        <v>72</v>
      </c>
      <c r="D38" s="1">
        <v>4.8800000000000003E-2</v>
      </c>
      <c r="E38" s="1">
        <v>0.19600000000000001</v>
      </c>
      <c r="F38" s="1">
        <v>4.8800000000000003E-2</v>
      </c>
      <c r="G38" s="1">
        <v>1</v>
      </c>
    </row>
    <row r="39" spans="1:7" x14ac:dyDescent="0.2">
      <c r="A39" s="1">
        <f t="shared" si="0"/>
        <v>38</v>
      </c>
      <c r="B39" s="1">
        <v>25</v>
      </c>
      <c r="C39" s="1">
        <v>27</v>
      </c>
      <c r="D39" s="1">
        <v>3.1800000000000002E-2</v>
      </c>
      <c r="E39" s="1">
        <v>0.16300000000000001</v>
      </c>
      <c r="F39" s="1">
        <v>0.1764</v>
      </c>
      <c r="G39" s="1">
        <v>1</v>
      </c>
    </row>
    <row r="40" spans="1:7" x14ac:dyDescent="0.2">
      <c r="A40" s="1">
        <f t="shared" si="0"/>
        <v>39</v>
      </c>
      <c r="B40" s="1">
        <v>26</v>
      </c>
      <c r="C40" s="1">
        <v>30</v>
      </c>
      <c r="D40" s="1">
        <v>7.9900000000000006E-3</v>
      </c>
      <c r="E40" s="1">
        <v>8.5999999999999993E-2</v>
      </c>
      <c r="F40" s="1">
        <v>0.90800000000000003</v>
      </c>
      <c r="G40" s="1">
        <v>1</v>
      </c>
    </row>
    <row r="41" spans="1:7" x14ac:dyDescent="0.2">
      <c r="A41" s="1">
        <f t="shared" si="0"/>
        <v>40</v>
      </c>
      <c r="B41" s="1">
        <v>27</v>
      </c>
      <c r="C41" s="1">
        <v>28</v>
      </c>
      <c r="D41" s="1">
        <v>1.9130000000000001E-2</v>
      </c>
      <c r="E41" s="1">
        <v>8.5500000000000007E-2</v>
      </c>
      <c r="F41" s="1">
        <v>2.1600000000000001E-2</v>
      </c>
      <c r="G41" s="1">
        <v>1</v>
      </c>
    </row>
    <row r="42" spans="1:7" x14ac:dyDescent="0.2">
      <c r="A42" s="1">
        <f t="shared" si="0"/>
        <v>41</v>
      </c>
      <c r="B42" s="1">
        <v>27</v>
      </c>
      <c r="C42" s="1">
        <v>32</v>
      </c>
      <c r="D42" s="1">
        <v>2.29E-2</v>
      </c>
      <c r="E42" s="1">
        <v>7.5499999999999998E-2</v>
      </c>
      <c r="F42" s="1">
        <v>1.9259999999999999E-2</v>
      </c>
      <c r="G42" s="1">
        <v>1</v>
      </c>
    </row>
    <row r="43" spans="1:7" x14ac:dyDescent="0.2">
      <c r="A43" s="1">
        <f t="shared" si="0"/>
        <v>42</v>
      </c>
      <c r="B43" s="1">
        <v>27</v>
      </c>
      <c r="C43" s="1">
        <v>115</v>
      </c>
      <c r="D43" s="1">
        <v>1.6400000000000001E-2</v>
      </c>
      <c r="E43" s="1">
        <v>7.4099999999999999E-2</v>
      </c>
      <c r="F43" s="1">
        <v>1.9720000000000001E-2</v>
      </c>
      <c r="G43" s="1">
        <v>1</v>
      </c>
    </row>
    <row r="44" spans="1:7" x14ac:dyDescent="0.2">
      <c r="A44" s="1">
        <f t="shared" si="0"/>
        <v>43</v>
      </c>
      <c r="B44" s="1">
        <v>28</v>
      </c>
      <c r="C44" s="1">
        <v>29</v>
      </c>
      <c r="D44" s="1">
        <v>2.3699999999999999E-2</v>
      </c>
      <c r="E44" s="1">
        <v>9.4299999999999995E-2</v>
      </c>
      <c r="F44" s="1">
        <v>2.3800000000000002E-2</v>
      </c>
      <c r="G44" s="1">
        <v>1</v>
      </c>
    </row>
    <row r="45" spans="1:7" x14ac:dyDescent="0.2">
      <c r="A45" s="1">
        <f t="shared" si="0"/>
        <v>44</v>
      </c>
      <c r="B45" s="1">
        <v>29</v>
      </c>
      <c r="C45" s="1">
        <v>31</v>
      </c>
      <c r="D45" s="1">
        <v>1.0800000000000001E-2</v>
      </c>
      <c r="E45" s="1">
        <v>3.3099999999999997E-2</v>
      </c>
      <c r="F45" s="1">
        <v>8.3000000000000001E-3</v>
      </c>
      <c r="G45" s="1">
        <v>1</v>
      </c>
    </row>
    <row r="46" spans="1:7" x14ac:dyDescent="0.2">
      <c r="A46" s="1">
        <f t="shared" si="0"/>
        <v>45</v>
      </c>
      <c r="B46" s="1">
        <v>30</v>
      </c>
      <c r="C46" s="1">
        <v>38</v>
      </c>
      <c r="D46" s="1">
        <v>4.64E-3</v>
      </c>
      <c r="E46" s="1">
        <v>5.3999999999999999E-2</v>
      </c>
      <c r="F46" s="1">
        <v>0.42199999999999999</v>
      </c>
      <c r="G46" s="1">
        <v>1</v>
      </c>
    </row>
    <row r="47" spans="1:7" x14ac:dyDescent="0.2">
      <c r="A47" s="1">
        <f t="shared" si="0"/>
        <v>46</v>
      </c>
      <c r="B47" s="1">
        <v>31</v>
      </c>
      <c r="C47" s="1">
        <v>32</v>
      </c>
      <c r="D47" s="1">
        <v>2.98E-2</v>
      </c>
      <c r="E47" s="1">
        <v>9.8500000000000004E-2</v>
      </c>
      <c r="F47" s="1">
        <v>2.5100000000000001E-2</v>
      </c>
      <c r="G47" s="1">
        <v>1</v>
      </c>
    </row>
    <row r="48" spans="1:7" x14ac:dyDescent="0.2">
      <c r="A48" s="1">
        <f t="shared" si="0"/>
        <v>47</v>
      </c>
      <c r="B48" s="1">
        <v>32</v>
      </c>
      <c r="C48" s="1">
        <v>113</v>
      </c>
      <c r="D48" s="1">
        <v>6.1499999999999999E-2</v>
      </c>
      <c r="E48" s="1">
        <v>0.20300000000000001</v>
      </c>
      <c r="F48" s="1">
        <v>5.1799999999999999E-2</v>
      </c>
      <c r="G48" s="1">
        <v>1</v>
      </c>
    </row>
    <row r="49" spans="1:7" x14ac:dyDescent="0.2">
      <c r="A49" s="1">
        <f t="shared" si="0"/>
        <v>48</v>
      </c>
      <c r="B49" s="1">
        <v>32</v>
      </c>
      <c r="C49" s="1">
        <v>114</v>
      </c>
      <c r="D49" s="1">
        <v>1.35E-2</v>
      </c>
      <c r="E49" s="1">
        <v>6.1199999999999997E-2</v>
      </c>
      <c r="F49" s="1">
        <v>1.6279999999999999E-2</v>
      </c>
      <c r="G49" s="1">
        <v>1</v>
      </c>
    </row>
    <row r="50" spans="1:7" x14ac:dyDescent="0.2">
      <c r="A50" s="1">
        <f t="shared" si="0"/>
        <v>49</v>
      </c>
      <c r="B50" s="1">
        <v>33</v>
      </c>
      <c r="C50" s="1">
        <v>37</v>
      </c>
      <c r="D50" s="1">
        <v>4.1500000000000002E-2</v>
      </c>
      <c r="E50" s="1">
        <v>0.14199999999999999</v>
      </c>
      <c r="F50" s="1">
        <v>3.6600000000000001E-2</v>
      </c>
      <c r="G50" s="1">
        <v>1</v>
      </c>
    </row>
    <row r="51" spans="1:7" x14ac:dyDescent="0.2">
      <c r="A51" s="1">
        <f t="shared" si="0"/>
        <v>50</v>
      </c>
      <c r="B51" s="1">
        <v>34</v>
      </c>
      <c r="C51" s="1">
        <v>36</v>
      </c>
      <c r="D51" s="1">
        <v>8.7100000000000007E-3</v>
      </c>
      <c r="E51" s="1">
        <v>2.6800000000000001E-2</v>
      </c>
      <c r="F51" s="1">
        <v>5.6800000000000002E-3</v>
      </c>
      <c r="G51" s="1">
        <v>1</v>
      </c>
    </row>
    <row r="52" spans="1:7" x14ac:dyDescent="0.2">
      <c r="A52" s="1">
        <f t="shared" si="0"/>
        <v>51</v>
      </c>
      <c r="B52" s="1">
        <v>34</v>
      </c>
      <c r="C52" s="1">
        <v>37</v>
      </c>
      <c r="D52" s="1">
        <v>2.5600000000000002E-3</v>
      </c>
      <c r="E52" s="1">
        <v>9.4000000000000004E-3</v>
      </c>
      <c r="F52" s="1">
        <v>9.8399999999999998E-3</v>
      </c>
      <c r="G52" s="1">
        <v>1</v>
      </c>
    </row>
    <row r="53" spans="1:7" x14ac:dyDescent="0.2">
      <c r="A53" s="1">
        <f t="shared" si="0"/>
        <v>52</v>
      </c>
      <c r="B53" s="1">
        <v>34</v>
      </c>
      <c r="C53" s="1">
        <v>43</v>
      </c>
      <c r="D53" s="1">
        <v>4.1300000000000003E-2</v>
      </c>
      <c r="E53" s="1">
        <v>0.1681</v>
      </c>
      <c r="F53" s="1">
        <v>4.2259999999999999E-2</v>
      </c>
      <c r="G53" s="1">
        <v>1</v>
      </c>
    </row>
    <row r="54" spans="1:7" x14ac:dyDescent="0.2">
      <c r="A54" s="1">
        <f t="shared" si="0"/>
        <v>53</v>
      </c>
      <c r="B54" s="1">
        <v>35</v>
      </c>
      <c r="C54" s="1">
        <v>36</v>
      </c>
      <c r="D54" s="1">
        <v>2.2399999999999998E-3</v>
      </c>
      <c r="E54" s="1">
        <v>1.0200000000000001E-2</v>
      </c>
      <c r="F54" s="1">
        <v>2.6800000000000001E-3</v>
      </c>
      <c r="G54" s="1">
        <v>1</v>
      </c>
    </row>
    <row r="55" spans="1:7" x14ac:dyDescent="0.2">
      <c r="A55" s="1">
        <f t="shared" si="0"/>
        <v>54</v>
      </c>
      <c r="B55" s="1">
        <v>35</v>
      </c>
      <c r="C55" s="1">
        <v>37</v>
      </c>
      <c r="D55" s="1">
        <v>1.0999999999999999E-2</v>
      </c>
      <c r="E55" s="1">
        <v>4.9700000000000001E-2</v>
      </c>
      <c r="F55" s="1">
        <v>1.3180000000000001E-2</v>
      </c>
      <c r="G55" s="1">
        <v>1</v>
      </c>
    </row>
    <row r="56" spans="1:7" x14ac:dyDescent="0.2">
      <c r="A56" s="1">
        <f t="shared" si="0"/>
        <v>55</v>
      </c>
      <c r="B56" s="1">
        <v>37</v>
      </c>
      <c r="C56" s="1">
        <v>39</v>
      </c>
      <c r="D56" s="1">
        <v>3.2099999999999997E-2</v>
      </c>
      <c r="E56" s="1">
        <v>0.106</v>
      </c>
      <c r="F56" s="1">
        <v>2.7E-2</v>
      </c>
      <c r="G56" s="1">
        <v>1</v>
      </c>
    </row>
    <row r="57" spans="1:7" x14ac:dyDescent="0.2">
      <c r="A57" s="1">
        <f t="shared" si="0"/>
        <v>56</v>
      </c>
      <c r="B57" s="1">
        <v>37</v>
      </c>
      <c r="C57" s="1">
        <v>40</v>
      </c>
      <c r="D57" s="1">
        <v>5.9299999999999999E-2</v>
      </c>
      <c r="E57" s="1">
        <v>0.16800000000000001</v>
      </c>
      <c r="F57" s="1">
        <v>4.2000000000000003E-2</v>
      </c>
      <c r="G57" s="1">
        <v>1</v>
      </c>
    </row>
    <row r="58" spans="1:7" x14ac:dyDescent="0.2">
      <c r="A58" s="1">
        <f t="shared" si="0"/>
        <v>57</v>
      </c>
      <c r="B58" s="1">
        <v>38</v>
      </c>
      <c r="C58" s="1">
        <v>65</v>
      </c>
      <c r="D58" s="1">
        <v>9.0100000000000006E-3</v>
      </c>
      <c r="E58" s="1">
        <v>9.8599999999999993E-2</v>
      </c>
      <c r="F58" s="1">
        <v>1.046</v>
      </c>
      <c r="G58" s="1">
        <v>1</v>
      </c>
    </row>
    <row r="59" spans="1:7" x14ac:dyDescent="0.2">
      <c r="A59" s="1">
        <f t="shared" si="0"/>
        <v>58</v>
      </c>
      <c r="B59" s="1">
        <v>39</v>
      </c>
      <c r="C59" s="1">
        <v>40</v>
      </c>
      <c r="D59" s="1">
        <v>1.84E-2</v>
      </c>
      <c r="E59" s="1">
        <v>6.0499999999999998E-2</v>
      </c>
      <c r="F59" s="1">
        <v>1.5520000000000001E-2</v>
      </c>
      <c r="G59" s="1">
        <v>1</v>
      </c>
    </row>
    <row r="60" spans="1:7" x14ac:dyDescent="0.2">
      <c r="A60" s="1">
        <f t="shared" si="0"/>
        <v>59</v>
      </c>
      <c r="B60" s="1">
        <v>40</v>
      </c>
      <c r="C60" s="1">
        <v>41</v>
      </c>
      <c r="D60" s="1">
        <v>1.4500000000000001E-2</v>
      </c>
      <c r="E60" s="1">
        <v>4.87E-2</v>
      </c>
      <c r="F60" s="1">
        <v>1.222E-2</v>
      </c>
      <c r="G60" s="1">
        <v>1</v>
      </c>
    </row>
    <row r="61" spans="1:7" x14ac:dyDescent="0.2">
      <c r="A61" s="1">
        <f t="shared" si="0"/>
        <v>60</v>
      </c>
      <c r="B61" s="1">
        <v>40</v>
      </c>
      <c r="C61" s="1">
        <v>42</v>
      </c>
      <c r="D61" s="1">
        <v>5.5500000000000001E-2</v>
      </c>
      <c r="E61" s="1">
        <v>0.183</v>
      </c>
      <c r="F61" s="1">
        <v>4.6600000000000003E-2</v>
      </c>
      <c r="G61" s="1">
        <v>1</v>
      </c>
    </row>
    <row r="62" spans="1:7" x14ac:dyDescent="0.2">
      <c r="A62" s="1">
        <f t="shared" si="0"/>
        <v>61</v>
      </c>
      <c r="B62" s="1">
        <v>41</v>
      </c>
      <c r="C62" s="1">
        <v>42</v>
      </c>
      <c r="D62" s="1">
        <v>4.1000000000000002E-2</v>
      </c>
      <c r="E62" s="1">
        <v>0.13500000000000001</v>
      </c>
      <c r="F62" s="1">
        <v>3.44E-2</v>
      </c>
      <c r="G62" s="1">
        <v>1</v>
      </c>
    </row>
    <row r="63" spans="1:7" x14ac:dyDescent="0.2">
      <c r="A63" s="1">
        <f t="shared" si="0"/>
        <v>62</v>
      </c>
      <c r="B63" s="1">
        <v>42</v>
      </c>
      <c r="C63" s="1">
        <v>49</v>
      </c>
      <c r="D63" s="1">
        <v>3.5749999999999997E-2</v>
      </c>
      <c r="E63" s="1">
        <v>0.1615</v>
      </c>
      <c r="F63" s="1">
        <v>0.17199999999999999</v>
      </c>
      <c r="G63" s="1">
        <v>1</v>
      </c>
    </row>
    <row r="64" spans="1:7" x14ac:dyDescent="0.2">
      <c r="A64" s="1">
        <f t="shared" si="0"/>
        <v>63</v>
      </c>
      <c r="B64" s="1">
        <v>43</v>
      </c>
      <c r="C64" s="1">
        <v>44</v>
      </c>
      <c r="D64" s="1">
        <v>6.08E-2</v>
      </c>
      <c r="E64" s="1">
        <v>0.24540000000000001</v>
      </c>
      <c r="F64" s="1">
        <v>6.0679999999999998E-2</v>
      </c>
      <c r="G64" s="1">
        <v>1</v>
      </c>
    </row>
    <row r="65" spans="1:7" x14ac:dyDescent="0.2">
      <c r="A65" s="1">
        <f t="shared" si="0"/>
        <v>64</v>
      </c>
      <c r="B65" s="1">
        <v>44</v>
      </c>
      <c r="C65" s="1">
        <v>45</v>
      </c>
      <c r="D65" s="1">
        <v>2.24E-2</v>
      </c>
      <c r="E65" s="1">
        <v>9.01E-2</v>
      </c>
      <c r="F65" s="1">
        <v>2.24E-2</v>
      </c>
      <c r="G65" s="1">
        <v>1</v>
      </c>
    </row>
    <row r="66" spans="1:7" x14ac:dyDescent="0.2">
      <c r="A66" s="1">
        <f t="shared" si="0"/>
        <v>65</v>
      </c>
      <c r="B66" s="1">
        <v>45</v>
      </c>
      <c r="C66" s="1">
        <v>46</v>
      </c>
      <c r="D66" s="1">
        <v>0.04</v>
      </c>
      <c r="E66" s="1">
        <v>0.1356</v>
      </c>
      <c r="F66" s="1">
        <v>3.32E-2</v>
      </c>
      <c r="G66" s="1">
        <v>1</v>
      </c>
    </row>
    <row r="67" spans="1:7" x14ac:dyDescent="0.2">
      <c r="A67" s="1">
        <f t="shared" si="0"/>
        <v>66</v>
      </c>
      <c r="B67" s="1">
        <v>45</v>
      </c>
      <c r="C67" s="1">
        <v>49</v>
      </c>
      <c r="D67" s="1">
        <v>6.8400000000000002E-2</v>
      </c>
      <c r="E67" s="1">
        <v>0.186</v>
      </c>
      <c r="F67" s="1">
        <v>4.4400000000000002E-2</v>
      </c>
      <c r="G67" s="1">
        <v>1</v>
      </c>
    </row>
    <row r="68" spans="1:7" x14ac:dyDescent="0.2">
      <c r="A68" s="1">
        <f t="shared" ref="A68:A131" si="1">A67+1</f>
        <v>67</v>
      </c>
      <c r="B68" s="1">
        <v>46</v>
      </c>
      <c r="C68" s="1">
        <v>47</v>
      </c>
      <c r="D68" s="1">
        <v>3.7999999999999999E-2</v>
      </c>
      <c r="E68" s="1">
        <v>0.127</v>
      </c>
      <c r="F68" s="1">
        <v>3.1600000000000003E-2</v>
      </c>
      <c r="G68" s="1">
        <v>1</v>
      </c>
    </row>
    <row r="69" spans="1:7" x14ac:dyDescent="0.2">
      <c r="A69" s="1">
        <f t="shared" si="1"/>
        <v>68</v>
      </c>
      <c r="B69" s="1">
        <v>46</v>
      </c>
      <c r="C69" s="1">
        <v>48</v>
      </c>
      <c r="D69" s="1">
        <v>6.0100000000000001E-2</v>
      </c>
      <c r="E69" s="1">
        <v>0.189</v>
      </c>
      <c r="F69" s="1">
        <v>4.7199999999999999E-2</v>
      </c>
      <c r="G69" s="1">
        <v>1</v>
      </c>
    </row>
    <row r="70" spans="1:7" x14ac:dyDescent="0.2">
      <c r="A70" s="1">
        <f t="shared" si="1"/>
        <v>69</v>
      </c>
      <c r="B70" s="1">
        <v>47</v>
      </c>
      <c r="C70" s="1">
        <v>49</v>
      </c>
      <c r="D70" s="1">
        <v>1.9099999999999999E-2</v>
      </c>
      <c r="E70" s="1">
        <v>6.25E-2</v>
      </c>
      <c r="F70" s="1">
        <v>1.6039999999999999E-2</v>
      </c>
      <c r="G70" s="1">
        <v>1</v>
      </c>
    </row>
    <row r="71" spans="1:7" x14ac:dyDescent="0.2">
      <c r="A71" s="1">
        <f t="shared" si="1"/>
        <v>70</v>
      </c>
      <c r="B71" s="1">
        <v>47</v>
      </c>
      <c r="C71" s="1">
        <v>69</v>
      </c>
      <c r="D71" s="1">
        <v>8.4400000000000003E-2</v>
      </c>
      <c r="E71" s="1">
        <v>0.27779999999999999</v>
      </c>
      <c r="F71" s="1">
        <v>7.0919999999999997E-2</v>
      </c>
      <c r="G71" s="1">
        <v>1</v>
      </c>
    </row>
    <row r="72" spans="1:7" x14ac:dyDescent="0.2">
      <c r="A72" s="1">
        <f t="shared" si="1"/>
        <v>71</v>
      </c>
      <c r="B72" s="1">
        <v>48</v>
      </c>
      <c r="C72" s="1">
        <v>49</v>
      </c>
      <c r="D72" s="1">
        <v>1.7899999999999999E-2</v>
      </c>
      <c r="E72" s="1">
        <v>5.0500000000000003E-2</v>
      </c>
      <c r="F72" s="1">
        <v>1.2579999999999999E-2</v>
      </c>
      <c r="G72" s="1">
        <v>1</v>
      </c>
    </row>
    <row r="73" spans="1:7" x14ac:dyDescent="0.2">
      <c r="A73" s="1">
        <f t="shared" si="1"/>
        <v>72</v>
      </c>
      <c r="B73" s="1">
        <v>49</v>
      </c>
      <c r="C73" s="1">
        <v>50</v>
      </c>
      <c r="D73" s="1">
        <v>2.6700000000000002E-2</v>
      </c>
      <c r="E73" s="1">
        <v>7.5200000000000003E-2</v>
      </c>
      <c r="F73" s="1">
        <v>1.874E-2</v>
      </c>
      <c r="G73" s="1">
        <v>1</v>
      </c>
    </row>
    <row r="74" spans="1:7" x14ac:dyDescent="0.2">
      <c r="A74" s="1">
        <f t="shared" si="1"/>
        <v>73</v>
      </c>
      <c r="B74" s="1">
        <v>49</v>
      </c>
      <c r="C74" s="1">
        <v>51</v>
      </c>
      <c r="D74" s="1">
        <v>4.8599999999999997E-2</v>
      </c>
      <c r="E74" s="1">
        <v>0.13700000000000001</v>
      </c>
      <c r="F74" s="1">
        <v>3.4200000000000001E-2</v>
      </c>
      <c r="G74" s="1">
        <v>1</v>
      </c>
    </row>
    <row r="75" spans="1:7" x14ac:dyDescent="0.2">
      <c r="A75" s="1">
        <f t="shared" si="1"/>
        <v>74</v>
      </c>
      <c r="B75" s="1">
        <v>49</v>
      </c>
      <c r="C75" s="1">
        <v>54</v>
      </c>
      <c r="D75" s="1">
        <v>3.9672920575359601E-2</v>
      </c>
      <c r="E75" s="1">
        <v>0.14499827586206901</v>
      </c>
      <c r="F75" s="1">
        <v>0.14680000000000001</v>
      </c>
      <c r="G75" s="1">
        <v>1</v>
      </c>
    </row>
    <row r="76" spans="1:7" x14ac:dyDescent="0.2">
      <c r="A76" s="1">
        <f t="shared" si="1"/>
        <v>75</v>
      </c>
      <c r="B76" s="1">
        <v>49</v>
      </c>
      <c r="C76" s="1">
        <v>66</v>
      </c>
      <c r="D76" s="1">
        <v>8.9999999999999993E-3</v>
      </c>
      <c r="E76" s="1">
        <v>4.5949999999999998E-2</v>
      </c>
      <c r="F76" s="1">
        <v>4.9599999999999998E-2</v>
      </c>
      <c r="G76" s="1">
        <v>1</v>
      </c>
    </row>
    <row r="77" spans="1:7" x14ac:dyDescent="0.2">
      <c r="A77" s="1">
        <f t="shared" si="1"/>
        <v>76</v>
      </c>
      <c r="B77" s="1">
        <v>49</v>
      </c>
      <c r="C77" s="1">
        <v>69</v>
      </c>
      <c r="D77" s="1">
        <v>9.8500000000000004E-2</v>
      </c>
      <c r="E77" s="1">
        <v>0.32400000000000001</v>
      </c>
      <c r="F77" s="1">
        <v>8.2799999999999999E-2</v>
      </c>
      <c r="G77" s="1">
        <v>1</v>
      </c>
    </row>
    <row r="78" spans="1:7" x14ac:dyDescent="0.2">
      <c r="A78" s="1">
        <f t="shared" si="1"/>
        <v>77</v>
      </c>
      <c r="B78" s="1">
        <v>50</v>
      </c>
      <c r="C78" s="1">
        <v>57</v>
      </c>
      <c r="D78" s="1">
        <v>4.7399999999999998E-2</v>
      </c>
      <c r="E78" s="1">
        <v>0.13400000000000001</v>
      </c>
      <c r="F78" s="1">
        <v>3.32E-2</v>
      </c>
      <c r="G78" s="1">
        <v>1</v>
      </c>
    </row>
    <row r="79" spans="1:7" x14ac:dyDescent="0.2">
      <c r="A79" s="1">
        <f t="shared" si="1"/>
        <v>78</v>
      </c>
      <c r="B79" s="1">
        <v>51</v>
      </c>
      <c r="C79" s="1">
        <v>52</v>
      </c>
      <c r="D79" s="1">
        <v>2.0299999999999999E-2</v>
      </c>
      <c r="E79" s="1">
        <v>5.8799999999999998E-2</v>
      </c>
      <c r="F79" s="1">
        <v>1.396E-2</v>
      </c>
      <c r="G79" s="1">
        <v>1</v>
      </c>
    </row>
    <row r="80" spans="1:7" x14ac:dyDescent="0.2">
      <c r="A80" s="1">
        <f t="shared" si="1"/>
        <v>79</v>
      </c>
      <c r="B80" s="1">
        <v>51</v>
      </c>
      <c r="C80" s="1">
        <v>58</v>
      </c>
      <c r="D80" s="1">
        <v>2.5499999999999998E-2</v>
      </c>
      <c r="E80" s="1">
        <v>7.1900000000000006E-2</v>
      </c>
      <c r="F80" s="1">
        <v>1.788E-2</v>
      </c>
      <c r="G80" s="1">
        <v>1</v>
      </c>
    </row>
    <row r="81" spans="1:7" x14ac:dyDescent="0.2">
      <c r="A81" s="1">
        <f t="shared" si="1"/>
        <v>80</v>
      </c>
      <c r="B81" s="1">
        <v>52</v>
      </c>
      <c r="C81" s="1">
        <v>53</v>
      </c>
      <c r="D81" s="1">
        <v>4.0500000000000001E-2</v>
      </c>
      <c r="E81" s="1">
        <v>0.16350000000000001</v>
      </c>
      <c r="F81" s="1">
        <v>4.0579999999999998E-2</v>
      </c>
      <c r="G81" s="1">
        <v>1</v>
      </c>
    </row>
    <row r="82" spans="1:7" x14ac:dyDescent="0.2">
      <c r="A82" s="1">
        <f t="shared" si="1"/>
        <v>81</v>
      </c>
      <c r="B82" s="1">
        <v>53</v>
      </c>
      <c r="C82" s="1">
        <v>54</v>
      </c>
      <c r="D82" s="1">
        <v>2.63E-2</v>
      </c>
      <c r="E82" s="1">
        <v>0.122</v>
      </c>
      <c r="F82" s="1">
        <v>3.1E-2</v>
      </c>
      <c r="G82" s="1">
        <v>1</v>
      </c>
    </row>
    <row r="83" spans="1:7" x14ac:dyDescent="0.2">
      <c r="A83" s="1">
        <f t="shared" si="1"/>
        <v>82</v>
      </c>
      <c r="B83" s="1">
        <v>54</v>
      </c>
      <c r="C83" s="1">
        <v>55</v>
      </c>
      <c r="D83" s="1">
        <v>1.6899999999999998E-2</v>
      </c>
      <c r="E83" s="1">
        <v>7.0699999999999999E-2</v>
      </c>
      <c r="F83" s="1">
        <v>2.0199999999999999E-2</v>
      </c>
      <c r="G83" s="1">
        <v>1</v>
      </c>
    </row>
    <row r="84" spans="1:7" x14ac:dyDescent="0.2">
      <c r="A84" s="1">
        <f t="shared" si="1"/>
        <v>83</v>
      </c>
      <c r="B84" s="1">
        <v>54</v>
      </c>
      <c r="C84" s="1">
        <v>56</v>
      </c>
      <c r="D84" s="1">
        <v>2.7499999999999998E-3</v>
      </c>
      <c r="E84" s="1">
        <v>9.5499999999999995E-3</v>
      </c>
      <c r="F84" s="1">
        <v>7.3200000000000001E-3</v>
      </c>
      <c r="G84" s="1">
        <v>1</v>
      </c>
    </row>
    <row r="85" spans="1:7" x14ac:dyDescent="0.2">
      <c r="A85" s="1">
        <f t="shared" si="1"/>
        <v>84</v>
      </c>
      <c r="B85" s="1">
        <v>54</v>
      </c>
      <c r="C85" s="1">
        <v>59</v>
      </c>
      <c r="D85" s="1">
        <v>5.0299999999999997E-2</v>
      </c>
      <c r="E85" s="1">
        <v>0.2293</v>
      </c>
      <c r="F85" s="1">
        <v>5.9799999999999999E-2</v>
      </c>
      <c r="G85" s="1">
        <v>1</v>
      </c>
    </row>
    <row r="86" spans="1:7" x14ac:dyDescent="0.2">
      <c r="A86" s="1">
        <f t="shared" si="1"/>
        <v>85</v>
      </c>
      <c r="B86" s="1">
        <v>55</v>
      </c>
      <c r="C86" s="1">
        <v>56</v>
      </c>
      <c r="D86" s="1">
        <v>4.8799999999999998E-3</v>
      </c>
      <c r="E86" s="1">
        <v>1.5100000000000001E-2</v>
      </c>
      <c r="F86" s="1">
        <v>3.7399999999999998E-3</v>
      </c>
      <c r="G86" s="1">
        <v>1</v>
      </c>
    </row>
    <row r="87" spans="1:7" x14ac:dyDescent="0.2">
      <c r="A87" s="1">
        <f t="shared" si="1"/>
        <v>86</v>
      </c>
      <c r="B87" s="1">
        <v>55</v>
      </c>
      <c r="C87" s="1">
        <v>59</v>
      </c>
      <c r="D87" s="1">
        <v>4.7390000000000002E-2</v>
      </c>
      <c r="E87" s="1">
        <v>0.21579999999999999</v>
      </c>
      <c r="F87" s="1">
        <v>5.6460000000000003E-2</v>
      </c>
      <c r="G87" s="1">
        <v>1</v>
      </c>
    </row>
    <row r="88" spans="1:7" x14ac:dyDescent="0.2">
      <c r="A88" s="1">
        <f t="shared" si="1"/>
        <v>87</v>
      </c>
      <c r="B88" s="1">
        <v>56</v>
      </c>
      <c r="C88" s="1">
        <v>57</v>
      </c>
      <c r="D88" s="1">
        <v>3.4299999999999997E-2</v>
      </c>
      <c r="E88" s="1">
        <v>9.6600000000000005E-2</v>
      </c>
      <c r="F88" s="1">
        <v>2.4199999999999999E-2</v>
      </c>
      <c r="G88" s="1">
        <v>1</v>
      </c>
    </row>
    <row r="89" spans="1:7" x14ac:dyDescent="0.2">
      <c r="A89" s="1">
        <f t="shared" si="1"/>
        <v>88</v>
      </c>
      <c r="B89" s="1">
        <v>56</v>
      </c>
      <c r="C89" s="1">
        <v>58</v>
      </c>
      <c r="D89" s="1">
        <v>3.4299999999999997E-2</v>
      </c>
      <c r="E89" s="1">
        <v>9.6600000000000005E-2</v>
      </c>
      <c r="F89" s="1">
        <v>2.4199999999999999E-2</v>
      </c>
      <c r="G89" s="1">
        <v>1</v>
      </c>
    </row>
    <row r="90" spans="1:7" x14ac:dyDescent="0.2">
      <c r="A90" s="1">
        <f t="shared" si="1"/>
        <v>89</v>
      </c>
      <c r="B90" s="1">
        <v>56</v>
      </c>
      <c r="C90" s="1">
        <v>59</v>
      </c>
      <c r="D90" s="1">
        <v>4.0692567567567568E-2</v>
      </c>
      <c r="E90" s="1">
        <v>0.1224265306122449</v>
      </c>
      <c r="F90" s="1">
        <v>0.1105</v>
      </c>
      <c r="G90" s="1">
        <v>1</v>
      </c>
    </row>
    <row r="91" spans="1:7" x14ac:dyDescent="0.2">
      <c r="A91" s="1">
        <f t="shared" si="1"/>
        <v>90</v>
      </c>
      <c r="B91" s="1">
        <v>59</v>
      </c>
      <c r="C91" s="1">
        <v>60</v>
      </c>
      <c r="D91" s="1">
        <v>3.1699999999999999E-2</v>
      </c>
      <c r="E91" s="1">
        <v>0.14499999999999999</v>
      </c>
      <c r="F91" s="1">
        <v>3.7600000000000001E-2</v>
      </c>
      <c r="G91" s="1">
        <v>1</v>
      </c>
    </row>
    <row r="92" spans="1:7" x14ac:dyDescent="0.2">
      <c r="A92" s="1">
        <f t="shared" si="1"/>
        <v>91</v>
      </c>
      <c r="B92" s="1">
        <v>59</v>
      </c>
      <c r="C92" s="1">
        <v>61</v>
      </c>
      <c r="D92" s="1">
        <v>3.2800000000000003E-2</v>
      </c>
      <c r="E92" s="1">
        <v>0.15</v>
      </c>
      <c r="F92" s="1">
        <v>3.8800000000000001E-2</v>
      </c>
      <c r="G92" s="1">
        <v>1</v>
      </c>
    </row>
    <row r="93" spans="1:7" x14ac:dyDescent="0.2">
      <c r="A93" s="1">
        <f t="shared" si="1"/>
        <v>92</v>
      </c>
      <c r="B93" s="1">
        <v>60</v>
      </c>
      <c r="C93" s="1">
        <v>61</v>
      </c>
      <c r="D93" s="1">
        <v>2.64E-3</v>
      </c>
      <c r="E93" s="1">
        <v>1.35E-2</v>
      </c>
      <c r="F93" s="1">
        <v>1.456E-2</v>
      </c>
      <c r="G93" s="1">
        <v>1</v>
      </c>
    </row>
    <row r="94" spans="1:7" x14ac:dyDescent="0.2">
      <c r="A94" s="1">
        <f t="shared" si="1"/>
        <v>93</v>
      </c>
      <c r="B94" s="1">
        <v>60</v>
      </c>
      <c r="C94" s="1">
        <v>62</v>
      </c>
      <c r="D94" s="1">
        <v>1.23E-2</v>
      </c>
      <c r="E94" s="1">
        <v>5.6099999999999997E-2</v>
      </c>
      <c r="F94" s="1">
        <v>1.468E-2</v>
      </c>
      <c r="G94" s="1">
        <v>1</v>
      </c>
    </row>
    <row r="95" spans="1:7" x14ac:dyDescent="0.2">
      <c r="A95" s="1">
        <f t="shared" si="1"/>
        <v>94</v>
      </c>
      <c r="B95" s="1">
        <v>61</v>
      </c>
      <c r="C95" s="1">
        <v>62</v>
      </c>
      <c r="D95" s="1">
        <v>8.2400000000000008E-3</v>
      </c>
      <c r="E95" s="1">
        <v>3.7600000000000001E-2</v>
      </c>
      <c r="F95" s="1">
        <v>9.7999999999999997E-3</v>
      </c>
      <c r="G95" s="1">
        <v>1</v>
      </c>
    </row>
    <row r="96" spans="1:7" x14ac:dyDescent="0.2">
      <c r="A96" s="1">
        <f t="shared" si="1"/>
        <v>95</v>
      </c>
      <c r="B96" s="1">
        <v>62</v>
      </c>
      <c r="C96" s="1">
        <v>66</v>
      </c>
      <c r="D96" s="1">
        <v>4.82E-2</v>
      </c>
      <c r="E96" s="1">
        <v>0.218</v>
      </c>
      <c r="F96" s="1">
        <v>5.7799999999999997E-2</v>
      </c>
      <c r="G96" s="1">
        <v>1</v>
      </c>
    </row>
    <row r="97" spans="1:7" x14ac:dyDescent="0.2">
      <c r="A97" s="1">
        <f t="shared" si="1"/>
        <v>96</v>
      </c>
      <c r="B97" s="1">
        <v>62</v>
      </c>
      <c r="C97" s="1">
        <v>67</v>
      </c>
      <c r="D97" s="1">
        <v>2.58E-2</v>
      </c>
      <c r="E97" s="1">
        <v>0.11700000000000001</v>
      </c>
      <c r="F97" s="1">
        <v>3.1E-2</v>
      </c>
      <c r="G97" s="1">
        <v>1</v>
      </c>
    </row>
    <row r="98" spans="1:7" x14ac:dyDescent="0.2">
      <c r="A98" s="1">
        <f t="shared" si="1"/>
        <v>97</v>
      </c>
      <c r="B98" s="1">
        <v>63</v>
      </c>
      <c r="C98" s="1">
        <v>64</v>
      </c>
      <c r="D98" s="1">
        <v>1.72E-3</v>
      </c>
      <c r="E98" s="1">
        <v>0.02</v>
      </c>
      <c r="F98" s="1">
        <v>0.216</v>
      </c>
      <c r="G98" s="1">
        <v>1</v>
      </c>
    </row>
    <row r="99" spans="1:7" x14ac:dyDescent="0.2">
      <c r="A99" s="1">
        <f t="shared" si="1"/>
        <v>98</v>
      </c>
      <c r="B99" s="1">
        <v>64</v>
      </c>
      <c r="C99" s="1">
        <v>65</v>
      </c>
      <c r="D99" s="1">
        <v>2.6900000000000001E-3</v>
      </c>
      <c r="E99" s="1">
        <v>3.0200000000000001E-2</v>
      </c>
      <c r="F99" s="1">
        <v>0.38</v>
      </c>
      <c r="G99" s="1">
        <v>1</v>
      </c>
    </row>
    <row r="100" spans="1:7" x14ac:dyDescent="0.2">
      <c r="A100" s="1">
        <f t="shared" si="1"/>
        <v>99</v>
      </c>
      <c r="B100" s="1">
        <v>65</v>
      </c>
      <c r="C100" s="1">
        <v>68</v>
      </c>
      <c r="D100" s="1">
        <v>1.3799999999999999E-3</v>
      </c>
      <c r="E100" s="1">
        <v>1.6E-2</v>
      </c>
      <c r="F100" s="1">
        <v>0.63800000000000001</v>
      </c>
      <c r="G100" s="1">
        <v>1</v>
      </c>
    </row>
    <row r="101" spans="1:7" x14ac:dyDescent="0.2">
      <c r="A101" s="1">
        <f t="shared" si="1"/>
        <v>100</v>
      </c>
      <c r="B101" s="1">
        <v>66</v>
      </c>
      <c r="C101" s="1">
        <v>67</v>
      </c>
      <c r="D101" s="1">
        <v>2.24E-2</v>
      </c>
      <c r="E101" s="1">
        <v>0.10150000000000001</v>
      </c>
      <c r="F101" s="1">
        <v>2.682E-2</v>
      </c>
      <c r="G101" s="1">
        <v>1</v>
      </c>
    </row>
    <row r="102" spans="1:7" x14ac:dyDescent="0.2">
      <c r="A102" s="1">
        <f t="shared" si="1"/>
        <v>101</v>
      </c>
      <c r="B102" s="1">
        <v>68</v>
      </c>
      <c r="C102" s="1">
        <v>81</v>
      </c>
      <c r="D102" s="1">
        <v>1.75E-3</v>
      </c>
      <c r="E102" s="1">
        <v>2.0199999999999999E-2</v>
      </c>
      <c r="F102" s="1">
        <v>0.80800000000000005</v>
      </c>
      <c r="G102" s="1">
        <v>1</v>
      </c>
    </row>
    <row r="103" spans="1:7" x14ac:dyDescent="0.2">
      <c r="A103" s="1">
        <f t="shared" si="1"/>
        <v>102</v>
      </c>
      <c r="B103" s="1">
        <v>69</v>
      </c>
      <c r="C103" s="1">
        <v>70</v>
      </c>
      <c r="D103" s="1">
        <v>0.03</v>
      </c>
      <c r="E103" s="1">
        <v>0.127</v>
      </c>
      <c r="F103" s="1">
        <v>0.122</v>
      </c>
      <c r="G103" s="1">
        <v>1</v>
      </c>
    </row>
    <row r="104" spans="1:7" x14ac:dyDescent="0.2">
      <c r="A104" s="1">
        <f t="shared" si="1"/>
        <v>103</v>
      </c>
      <c r="B104" s="1">
        <v>69</v>
      </c>
      <c r="C104" s="1">
        <v>75</v>
      </c>
      <c r="D104" s="1">
        <v>4.0500000000000001E-2</v>
      </c>
      <c r="E104" s="1">
        <v>0.122</v>
      </c>
      <c r="F104" s="1">
        <v>0.124</v>
      </c>
      <c r="G104" s="1">
        <v>1</v>
      </c>
    </row>
    <row r="105" spans="1:7" x14ac:dyDescent="0.2">
      <c r="A105" s="1">
        <f t="shared" si="1"/>
        <v>104</v>
      </c>
      <c r="B105" s="1">
        <v>69</v>
      </c>
      <c r="C105" s="1">
        <v>77</v>
      </c>
      <c r="D105" s="1">
        <v>3.09E-2</v>
      </c>
      <c r="E105" s="1">
        <v>0.10100000000000001</v>
      </c>
      <c r="F105" s="1">
        <v>0.1038</v>
      </c>
      <c r="G105" s="1">
        <v>1</v>
      </c>
    </row>
    <row r="106" spans="1:7" x14ac:dyDescent="0.2">
      <c r="A106" s="1">
        <f t="shared" si="1"/>
        <v>105</v>
      </c>
      <c r="B106" s="1">
        <v>70</v>
      </c>
      <c r="C106" s="1">
        <v>71</v>
      </c>
      <c r="D106" s="1">
        <v>8.8199999999999997E-3</v>
      </c>
      <c r="E106" s="1">
        <v>3.5499999999999997E-2</v>
      </c>
      <c r="F106" s="1">
        <v>8.7799999999999996E-3</v>
      </c>
      <c r="G106" s="1">
        <v>1</v>
      </c>
    </row>
    <row r="107" spans="1:7" x14ac:dyDescent="0.2">
      <c r="A107" s="1">
        <f t="shared" si="1"/>
        <v>106</v>
      </c>
      <c r="B107" s="1">
        <v>70</v>
      </c>
      <c r="C107" s="1">
        <v>74</v>
      </c>
      <c r="D107" s="1">
        <v>4.0099999999999997E-2</v>
      </c>
      <c r="E107" s="1">
        <v>0.1323</v>
      </c>
      <c r="F107" s="1">
        <v>3.3680000000000002E-2</v>
      </c>
      <c r="G107" s="1">
        <v>1</v>
      </c>
    </row>
    <row r="108" spans="1:7" x14ac:dyDescent="0.2">
      <c r="A108" s="1">
        <f t="shared" si="1"/>
        <v>107</v>
      </c>
      <c r="B108" s="1">
        <v>70</v>
      </c>
      <c r="C108" s="1">
        <v>75</v>
      </c>
      <c r="D108" s="1">
        <v>4.2799999999999998E-2</v>
      </c>
      <c r="E108" s="1">
        <v>0.14099999999999999</v>
      </c>
      <c r="F108" s="1">
        <v>3.5999999999999997E-2</v>
      </c>
      <c r="G108" s="1">
        <v>1</v>
      </c>
    </row>
    <row r="109" spans="1:7" x14ac:dyDescent="0.2">
      <c r="A109" s="1">
        <f t="shared" si="1"/>
        <v>108</v>
      </c>
      <c r="B109" s="1">
        <v>71</v>
      </c>
      <c r="C109" s="1">
        <v>72</v>
      </c>
      <c r="D109" s="1">
        <v>4.4600000000000001E-2</v>
      </c>
      <c r="E109" s="1">
        <v>0.18</v>
      </c>
      <c r="F109" s="1">
        <v>4.444E-2</v>
      </c>
      <c r="G109" s="1">
        <v>1</v>
      </c>
    </row>
    <row r="110" spans="1:7" x14ac:dyDescent="0.2">
      <c r="A110" s="1">
        <f t="shared" si="1"/>
        <v>109</v>
      </c>
      <c r="B110" s="1">
        <v>71</v>
      </c>
      <c r="C110" s="1">
        <v>73</v>
      </c>
      <c r="D110" s="1">
        <v>8.6599999999999993E-3</v>
      </c>
      <c r="E110" s="1">
        <v>4.5400000000000003E-2</v>
      </c>
      <c r="F110" s="1">
        <v>1.1780000000000001E-2</v>
      </c>
      <c r="G110" s="1">
        <v>1</v>
      </c>
    </row>
    <row r="111" spans="1:7" x14ac:dyDescent="0.2">
      <c r="A111" s="1">
        <f t="shared" si="1"/>
        <v>110</v>
      </c>
      <c r="B111" s="1">
        <v>74</v>
      </c>
      <c r="C111" s="1">
        <v>75</v>
      </c>
      <c r="D111" s="1">
        <v>1.23E-2</v>
      </c>
      <c r="E111" s="1">
        <v>4.0599999999999997E-2</v>
      </c>
      <c r="F111" s="1">
        <v>1.034E-2</v>
      </c>
      <c r="G111" s="1">
        <v>1</v>
      </c>
    </row>
    <row r="112" spans="1:7" x14ac:dyDescent="0.2">
      <c r="A112" s="1">
        <f t="shared" si="1"/>
        <v>111</v>
      </c>
      <c r="B112" s="1">
        <v>75</v>
      </c>
      <c r="C112" s="1">
        <v>77</v>
      </c>
      <c r="D112" s="1">
        <v>6.0100000000000001E-2</v>
      </c>
      <c r="E112" s="1">
        <v>0.19989999999999999</v>
      </c>
      <c r="F112" s="1">
        <v>4.9779999999999998E-2</v>
      </c>
      <c r="G112" s="1">
        <v>1</v>
      </c>
    </row>
    <row r="113" spans="1:7" x14ac:dyDescent="0.2">
      <c r="A113" s="1">
        <f t="shared" si="1"/>
        <v>112</v>
      </c>
      <c r="B113" s="1">
        <v>75</v>
      </c>
      <c r="C113" s="1">
        <v>118</v>
      </c>
      <c r="D113" s="1">
        <v>1.4500000000000001E-2</v>
      </c>
      <c r="E113" s="1">
        <v>4.8099999999999997E-2</v>
      </c>
      <c r="F113" s="1">
        <v>1.1979999999999999E-2</v>
      </c>
      <c r="G113" s="1">
        <v>1</v>
      </c>
    </row>
    <row r="114" spans="1:7" x14ac:dyDescent="0.2">
      <c r="A114" s="1">
        <f t="shared" si="1"/>
        <v>113</v>
      </c>
      <c r="B114" s="1">
        <v>76</v>
      </c>
      <c r="C114" s="1">
        <v>77</v>
      </c>
      <c r="D114" s="1">
        <v>4.4400000000000002E-2</v>
      </c>
      <c r="E114" s="1">
        <v>0.14799999999999999</v>
      </c>
      <c r="F114" s="1">
        <v>3.6799999999999999E-2</v>
      </c>
      <c r="G114" s="1">
        <v>1</v>
      </c>
    </row>
    <row r="115" spans="1:7" x14ac:dyDescent="0.2">
      <c r="A115" s="1">
        <f t="shared" si="1"/>
        <v>114</v>
      </c>
      <c r="B115" s="1">
        <v>76</v>
      </c>
      <c r="C115" s="1">
        <v>118</v>
      </c>
      <c r="D115" s="1">
        <v>1.6400000000000001E-2</v>
      </c>
      <c r="E115" s="1">
        <v>5.4399999999999997E-2</v>
      </c>
      <c r="F115" s="1">
        <v>1.3559999999999999E-2</v>
      </c>
      <c r="G115" s="1">
        <v>1</v>
      </c>
    </row>
    <row r="116" spans="1:7" x14ac:dyDescent="0.2">
      <c r="A116" s="1">
        <f t="shared" si="1"/>
        <v>115</v>
      </c>
      <c r="B116" s="1">
        <v>77</v>
      </c>
      <c r="C116" s="1">
        <v>78</v>
      </c>
      <c r="D116" s="1">
        <v>3.7599999999999999E-3</v>
      </c>
      <c r="E116" s="1">
        <v>1.24E-2</v>
      </c>
      <c r="F116" s="1">
        <v>1.264E-2</v>
      </c>
      <c r="G116" s="1">
        <v>1</v>
      </c>
    </row>
    <row r="117" spans="1:7" x14ac:dyDescent="0.2">
      <c r="A117" s="1">
        <f t="shared" si="1"/>
        <v>116</v>
      </c>
      <c r="B117" s="1">
        <v>77</v>
      </c>
      <c r="C117" s="1">
        <v>80</v>
      </c>
      <c r="D117" s="1">
        <v>1.0771551724137929E-2</v>
      </c>
      <c r="E117" s="1">
        <v>3.3175895765472307E-2</v>
      </c>
      <c r="F117" s="1">
        <v>7.0000000000000007E-2</v>
      </c>
      <c r="G117" s="1">
        <v>1</v>
      </c>
    </row>
    <row r="118" spans="1:7" x14ac:dyDescent="0.2">
      <c r="A118" s="1">
        <f t="shared" si="1"/>
        <v>117</v>
      </c>
      <c r="B118" s="1">
        <v>77</v>
      </c>
      <c r="C118" s="1">
        <v>82</v>
      </c>
      <c r="D118" s="1">
        <v>2.98E-2</v>
      </c>
      <c r="E118" s="1">
        <v>8.5300000000000001E-2</v>
      </c>
      <c r="F118" s="1">
        <v>8.1739999999999993E-2</v>
      </c>
      <c r="G118" s="1">
        <v>1</v>
      </c>
    </row>
    <row r="119" spans="1:7" x14ac:dyDescent="0.2">
      <c r="A119" s="1">
        <f t="shared" si="1"/>
        <v>118</v>
      </c>
      <c r="B119" s="1">
        <v>78</v>
      </c>
      <c r="C119" s="1">
        <v>79</v>
      </c>
      <c r="D119" s="1">
        <v>5.4599999999999996E-3</v>
      </c>
      <c r="E119" s="1">
        <v>2.4400000000000002E-2</v>
      </c>
      <c r="F119" s="1">
        <v>6.4799999999999996E-3</v>
      </c>
      <c r="G119" s="1">
        <v>1</v>
      </c>
    </row>
    <row r="120" spans="1:7" x14ac:dyDescent="0.2">
      <c r="A120" s="1">
        <f t="shared" si="1"/>
        <v>119</v>
      </c>
      <c r="B120" s="1">
        <v>79</v>
      </c>
      <c r="C120" s="1">
        <v>80</v>
      </c>
      <c r="D120" s="1">
        <v>1.5599999999999999E-2</v>
      </c>
      <c r="E120" s="1">
        <v>7.0400000000000004E-2</v>
      </c>
      <c r="F120" s="1">
        <v>1.8700000000000001E-2</v>
      </c>
      <c r="G120" s="1">
        <v>1</v>
      </c>
    </row>
    <row r="121" spans="1:7" x14ac:dyDescent="0.2">
      <c r="A121" s="1">
        <f t="shared" si="1"/>
        <v>120</v>
      </c>
      <c r="B121" s="1">
        <v>80</v>
      </c>
      <c r="C121" s="1">
        <v>96</v>
      </c>
      <c r="D121" s="1">
        <v>3.56E-2</v>
      </c>
      <c r="E121" s="1">
        <v>0.182</v>
      </c>
      <c r="F121" s="1">
        <v>4.9399999999999999E-2</v>
      </c>
      <c r="G121" s="1">
        <v>1</v>
      </c>
    </row>
    <row r="122" spans="1:7" x14ac:dyDescent="0.2">
      <c r="A122" s="1">
        <f t="shared" si="1"/>
        <v>121</v>
      </c>
      <c r="B122" s="1">
        <v>80</v>
      </c>
      <c r="C122" s="1">
        <v>97</v>
      </c>
      <c r="D122" s="1">
        <v>1.83E-2</v>
      </c>
      <c r="E122" s="1">
        <v>9.3399999999999997E-2</v>
      </c>
      <c r="F122" s="1">
        <v>2.5399999999999999E-2</v>
      </c>
      <c r="G122" s="1">
        <v>1</v>
      </c>
    </row>
    <row r="123" spans="1:7" x14ac:dyDescent="0.2">
      <c r="A123" s="1">
        <f t="shared" si="1"/>
        <v>122</v>
      </c>
      <c r="B123" s="1">
        <v>80</v>
      </c>
      <c r="C123" s="1">
        <v>98</v>
      </c>
      <c r="D123" s="1">
        <v>2.3800000000000002E-2</v>
      </c>
      <c r="E123" s="1">
        <v>0.108</v>
      </c>
      <c r="F123" s="1">
        <v>2.86E-2</v>
      </c>
      <c r="G123" s="1">
        <v>1</v>
      </c>
    </row>
    <row r="124" spans="1:7" x14ac:dyDescent="0.2">
      <c r="A124" s="1">
        <f t="shared" si="1"/>
        <v>123</v>
      </c>
      <c r="B124" s="1">
        <v>80</v>
      </c>
      <c r="C124" s="1">
        <v>99</v>
      </c>
      <c r="D124" s="1">
        <v>4.5400000000000003E-2</v>
      </c>
      <c r="E124" s="1">
        <v>0.20599999999999999</v>
      </c>
      <c r="F124" s="1">
        <v>5.4600000000000003E-2</v>
      </c>
      <c r="G124" s="1">
        <v>1</v>
      </c>
    </row>
    <row r="125" spans="1:7" x14ac:dyDescent="0.2">
      <c r="A125" s="1">
        <f t="shared" si="1"/>
        <v>124</v>
      </c>
      <c r="B125" s="1">
        <v>82</v>
      </c>
      <c r="C125" s="1">
        <v>83</v>
      </c>
      <c r="D125" s="1">
        <v>1.12E-2</v>
      </c>
      <c r="E125" s="1">
        <v>3.6650000000000002E-2</v>
      </c>
      <c r="F125" s="1">
        <v>3.7960000000000001E-2</v>
      </c>
      <c r="G125" s="1">
        <v>1</v>
      </c>
    </row>
    <row r="126" spans="1:7" x14ac:dyDescent="0.2">
      <c r="A126" s="1">
        <f t="shared" si="1"/>
        <v>125</v>
      </c>
      <c r="B126" s="1">
        <v>82</v>
      </c>
      <c r="C126" s="1">
        <v>96</v>
      </c>
      <c r="D126" s="1">
        <v>1.6199999999999999E-2</v>
      </c>
      <c r="E126" s="1">
        <v>5.2999999999999999E-2</v>
      </c>
      <c r="F126" s="1">
        <v>5.4399999999999997E-2</v>
      </c>
      <c r="G126" s="1">
        <v>1</v>
      </c>
    </row>
    <row r="127" spans="1:7" x14ac:dyDescent="0.2">
      <c r="A127" s="1">
        <f t="shared" si="1"/>
        <v>126</v>
      </c>
      <c r="B127" s="1">
        <v>83</v>
      </c>
      <c r="C127" s="1">
        <v>84</v>
      </c>
      <c r="D127" s="1">
        <v>6.25E-2</v>
      </c>
      <c r="E127" s="1">
        <v>0.13200000000000001</v>
      </c>
      <c r="F127" s="1">
        <v>2.58E-2</v>
      </c>
      <c r="G127" s="1">
        <v>1</v>
      </c>
    </row>
    <row r="128" spans="1:7" x14ac:dyDescent="0.2">
      <c r="A128" s="1">
        <f t="shared" si="1"/>
        <v>127</v>
      </c>
      <c r="B128" s="1">
        <v>83</v>
      </c>
      <c r="C128" s="1">
        <v>85</v>
      </c>
      <c r="D128" s="1">
        <v>4.2999999999999997E-2</v>
      </c>
      <c r="E128" s="1">
        <v>0.14799999999999999</v>
      </c>
      <c r="F128" s="1">
        <v>3.4799999999999998E-2</v>
      </c>
      <c r="G128" s="1">
        <v>1</v>
      </c>
    </row>
    <row r="129" spans="1:7" x14ac:dyDescent="0.2">
      <c r="A129" s="1">
        <f t="shared" si="1"/>
        <v>128</v>
      </c>
      <c r="B129" s="1">
        <v>84</v>
      </c>
      <c r="C129" s="1">
        <v>85</v>
      </c>
      <c r="D129" s="1">
        <v>3.0200000000000001E-2</v>
      </c>
      <c r="E129" s="1">
        <v>6.4100000000000004E-2</v>
      </c>
      <c r="F129" s="1">
        <v>1.234E-2</v>
      </c>
      <c r="G129" s="1">
        <v>1</v>
      </c>
    </row>
    <row r="130" spans="1:7" x14ac:dyDescent="0.2">
      <c r="A130" s="1">
        <f t="shared" si="1"/>
        <v>129</v>
      </c>
      <c r="B130" s="1">
        <v>85</v>
      </c>
      <c r="C130" s="1">
        <v>86</v>
      </c>
      <c r="D130" s="1">
        <v>3.5000000000000003E-2</v>
      </c>
      <c r="E130" s="1">
        <v>0.123</v>
      </c>
      <c r="F130" s="1">
        <v>2.76E-2</v>
      </c>
      <c r="G130" s="1">
        <v>1</v>
      </c>
    </row>
    <row r="131" spans="1:7" x14ac:dyDescent="0.2">
      <c r="A131" s="1">
        <f t="shared" si="1"/>
        <v>130</v>
      </c>
      <c r="B131" s="1">
        <v>85</v>
      </c>
      <c r="C131" s="1">
        <v>88</v>
      </c>
      <c r="D131" s="1">
        <v>0.02</v>
      </c>
      <c r="E131" s="1">
        <v>0.10199999999999999</v>
      </c>
      <c r="F131" s="1">
        <v>2.76E-2</v>
      </c>
      <c r="G131" s="1">
        <v>1</v>
      </c>
    </row>
    <row r="132" spans="1:7" x14ac:dyDescent="0.2">
      <c r="A132" s="1">
        <f t="shared" ref="A132:A166" si="2">A131+1</f>
        <v>131</v>
      </c>
      <c r="B132" s="1">
        <v>85</v>
      </c>
      <c r="C132" s="1">
        <v>89</v>
      </c>
      <c r="D132" s="1">
        <v>2.3900000000000001E-2</v>
      </c>
      <c r="E132" s="1">
        <v>0.17299999999999999</v>
      </c>
      <c r="F132" s="1">
        <v>4.7E-2</v>
      </c>
      <c r="G132" s="1">
        <v>1</v>
      </c>
    </row>
    <row r="133" spans="1:7" x14ac:dyDescent="0.2">
      <c r="A133" s="1">
        <f t="shared" si="2"/>
        <v>132</v>
      </c>
      <c r="B133" s="1">
        <v>88</v>
      </c>
      <c r="C133" s="1">
        <v>89</v>
      </c>
      <c r="D133" s="1">
        <v>1.3899999999999999E-2</v>
      </c>
      <c r="E133" s="1">
        <v>7.1199999999999999E-2</v>
      </c>
      <c r="F133" s="1">
        <v>1.934E-2</v>
      </c>
      <c r="G133" s="1">
        <v>1</v>
      </c>
    </row>
    <row r="134" spans="1:7" x14ac:dyDescent="0.2">
      <c r="A134" s="1">
        <f t="shared" si="2"/>
        <v>133</v>
      </c>
      <c r="B134" s="1">
        <v>89</v>
      </c>
      <c r="C134" s="1">
        <v>90</v>
      </c>
      <c r="D134" s="1">
        <v>1.6307407407407409E-2</v>
      </c>
      <c r="E134" s="1">
        <v>6.5149808828640951E-2</v>
      </c>
      <c r="F134" s="1">
        <v>0.1588</v>
      </c>
      <c r="G134" s="1">
        <v>1</v>
      </c>
    </row>
    <row r="135" spans="1:7" x14ac:dyDescent="0.2">
      <c r="A135" s="1">
        <f t="shared" si="2"/>
        <v>134</v>
      </c>
      <c r="B135" s="1">
        <v>89</v>
      </c>
      <c r="C135" s="1">
        <v>92</v>
      </c>
      <c r="D135" s="1">
        <v>7.9079268292682938E-3</v>
      </c>
      <c r="E135" s="1">
        <v>3.8274448705656758E-2</v>
      </c>
      <c r="F135" s="1">
        <v>9.6200000000000008E-2</v>
      </c>
      <c r="G135" s="1">
        <v>1</v>
      </c>
    </row>
    <row r="136" spans="1:7" x14ac:dyDescent="0.2">
      <c r="A136" s="1">
        <f t="shared" si="2"/>
        <v>135</v>
      </c>
      <c r="B136" s="1">
        <v>90</v>
      </c>
      <c r="C136" s="1">
        <v>91</v>
      </c>
      <c r="D136" s="1">
        <v>2.5399999999999999E-2</v>
      </c>
      <c r="E136" s="1">
        <v>8.3599999999999994E-2</v>
      </c>
      <c r="F136" s="1">
        <v>2.1399999999999999E-2</v>
      </c>
      <c r="G136" s="1">
        <v>1</v>
      </c>
    </row>
    <row r="137" spans="1:7" x14ac:dyDescent="0.2">
      <c r="A137" s="1">
        <f t="shared" si="2"/>
        <v>136</v>
      </c>
      <c r="B137" s="1">
        <v>91</v>
      </c>
      <c r="C137" s="1">
        <v>92</v>
      </c>
      <c r="D137" s="1">
        <v>3.8699999999999998E-2</v>
      </c>
      <c r="E137" s="1">
        <v>0.12720000000000001</v>
      </c>
      <c r="F137" s="1">
        <v>3.2680000000000001E-2</v>
      </c>
      <c r="G137" s="1">
        <v>1</v>
      </c>
    </row>
    <row r="138" spans="1:7" x14ac:dyDescent="0.2">
      <c r="A138" s="1">
        <f t="shared" si="2"/>
        <v>137</v>
      </c>
      <c r="B138" s="1">
        <v>92</v>
      </c>
      <c r="C138" s="1">
        <v>93</v>
      </c>
      <c r="D138" s="1">
        <v>2.58E-2</v>
      </c>
      <c r="E138" s="1">
        <v>8.48E-2</v>
      </c>
      <c r="F138" s="1">
        <v>2.18E-2</v>
      </c>
      <c r="G138" s="1">
        <v>1</v>
      </c>
    </row>
    <row r="139" spans="1:7" x14ac:dyDescent="0.2">
      <c r="A139" s="1">
        <f t="shared" si="2"/>
        <v>138</v>
      </c>
      <c r="B139" s="1">
        <v>92</v>
      </c>
      <c r="C139" s="1">
        <v>94</v>
      </c>
      <c r="D139" s="1">
        <v>4.8099999999999997E-2</v>
      </c>
      <c r="E139" s="1">
        <v>0.158</v>
      </c>
      <c r="F139" s="1">
        <v>4.0599999999999997E-2</v>
      </c>
      <c r="G139" s="1">
        <v>1</v>
      </c>
    </row>
    <row r="140" spans="1:7" x14ac:dyDescent="0.2">
      <c r="A140" s="1">
        <f t="shared" si="2"/>
        <v>139</v>
      </c>
      <c r="B140" s="1">
        <v>92</v>
      </c>
      <c r="C140" s="1">
        <v>100</v>
      </c>
      <c r="D140" s="1">
        <v>6.4799999999999996E-2</v>
      </c>
      <c r="E140" s="1">
        <v>0.29499999999999998</v>
      </c>
      <c r="F140" s="1">
        <v>4.7199999999999999E-2</v>
      </c>
      <c r="G140" s="1">
        <v>1</v>
      </c>
    </row>
    <row r="141" spans="1:7" x14ac:dyDescent="0.2">
      <c r="A141" s="1">
        <f t="shared" si="2"/>
        <v>140</v>
      </c>
      <c r="B141" s="1">
        <v>92</v>
      </c>
      <c r="C141" s="1">
        <v>102</v>
      </c>
      <c r="D141" s="1">
        <v>1.23E-2</v>
      </c>
      <c r="E141" s="1">
        <v>5.5899999999999998E-2</v>
      </c>
      <c r="F141" s="1">
        <v>1.464E-2</v>
      </c>
      <c r="G141" s="1">
        <v>1</v>
      </c>
    </row>
    <row r="142" spans="1:7" x14ac:dyDescent="0.2">
      <c r="A142" s="1">
        <f t="shared" si="2"/>
        <v>141</v>
      </c>
      <c r="B142" s="1">
        <v>93</v>
      </c>
      <c r="C142" s="1">
        <v>94</v>
      </c>
      <c r="D142" s="1">
        <v>2.23E-2</v>
      </c>
      <c r="E142" s="1">
        <v>7.3200000000000001E-2</v>
      </c>
      <c r="F142" s="1">
        <v>1.8759999999999999E-2</v>
      </c>
      <c r="G142" s="1">
        <v>1</v>
      </c>
    </row>
    <row r="143" spans="1:7" x14ac:dyDescent="0.2">
      <c r="A143" s="1">
        <f t="shared" si="2"/>
        <v>142</v>
      </c>
      <c r="B143" s="1">
        <v>94</v>
      </c>
      <c r="C143" s="1">
        <v>95</v>
      </c>
      <c r="D143" s="1">
        <v>1.32E-2</v>
      </c>
      <c r="E143" s="1">
        <v>4.3400000000000001E-2</v>
      </c>
      <c r="F143" s="1">
        <v>1.11E-2</v>
      </c>
      <c r="G143" s="1">
        <v>1</v>
      </c>
    </row>
    <row r="144" spans="1:7" x14ac:dyDescent="0.2">
      <c r="A144" s="1">
        <f t="shared" si="2"/>
        <v>143</v>
      </c>
      <c r="B144" s="1">
        <v>94</v>
      </c>
      <c r="C144" s="1">
        <v>96</v>
      </c>
      <c r="D144" s="1">
        <v>2.69E-2</v>
      </c>
      <c r="E144" s="1">
        <v>8.6900000000000005E-2</v>
      </c>
      <c r="F144" s="1">
        <v>2.3E-2</v>
      </c>
      <c r="G144" s="1">
        <v>1</v>
      </c>
    </row>
    <row r="145" spans="1:7" x14ac:dyDescent="0.2">
      <c r="A145" s="1">
        <f t="shared" si="2"/>
        <v>144</v>
      </c>
      <c r="B145" s="1">
        <v>94</v>
      </c>
      <c r="C145" s="1">
        <v>100</v>
      </c>
      <c r="D145" s="1">
        <v>1.78E-2</v>
      </c>
      <c r="E145" s="1">
        <v>5.8000000000000003E-2</v>
      </c>
      <c r="F145" s="1">
        <v>6.0400000000000002E-2</v>
      </c>
      <c r="G145" s="1">
        <v>1</v>
      </c>
    </row>
    <row r="146" spans="1:7" x14ac:dyDescent="0.2">
      <c r="A146" s="1">
        <f t="shared" si="2"/>
        <v>145</v>
      </c>
      <c r="B146" s="1">
        <v>95</v>
      </c>
      <c r="C146" s="1">
        <v>96</v>
      </c>
      <c r="D146" s="1">
        <v>1.7100000000000001E-2</v>
      </c>
      <c r="E146" s="1">
        <v>5.4699999999999999E-2</v>
      </c>
      <c r="F146" s="1">
        <v>1.474E-2</v>
      </c>
      <c r="G146" s="1">
        <v>1</v>
      </c>
    </row>
    <row r="147" spans="1:7" x14ac:dyDescent="0.2">
      <c r="A147" s="1">
        <f t="shared" si="2"/>
        <v>146</v>
      </c>
      <c r="B147" s="1">
        <v>96</v>
      </c>
      <c r="C147" s="1">
        <v>97</v>
      </c>
      <c r="D147" s="1">
        <v>1.7299999999999999E-2</v>
      </c>
      <c r="E147" s="1">
        <v>8.8499999999999995E-2</v>
      </c>
      <c r="F147" s="1">
        <v>2.4E-2</v>
      </c>
      <c r="G147" s="1">
        <v>1</v>
      </c>
    </row>
    <row r="148" spans="1:7" x14ac:dyDescent="0.2">
      <c r="A148" s="1">
        <f t="shared" si="2"/>
        <v>147</v>
      </c>
      <c r="B148" s="1">
        <v>98</v>
      </c>
      <c r="C148" s="1">
        <v>100</v>
      </c>
      <c r="D148" s="1">
        <v>3.9699999999999999E-2</v>
      </c>
      <c r="E148" s="1">
        <v>0.17899999999999999</v>
      </c>
      <c r="F148" s="1">
        <v>4.7600000000000003E-2</v>
      </c>
      <c r="G148" s="1">
        <v>1</v>
      </c>
    </row>
    <row r="149" spans="1:7" x14ac:dyDescent="0.2">
      <c r="A149" s="1">
        <f t="shared" si="2"/>
        <v>148</v>
      </c>
      <c r="B149" s="1">
        <v>99</v>
      </c>
      <c r="C149" s="1">
        <v>100</v>
      </c>
      <c r="D149" s="1">
        <v>1.7999999999999999E-2</v>
      </c>
      <c r="E149" s="1">
        <v>8.1299999999999997E-2</v>
      </c>
      <c r="F149" s="1">
        <v>2.1600000000000001E-2</v>
      </c>
      <c r="G149" s="1">
        <v>1</v>
      </c>
    </row>
    <row r="150" spans="1:7" x14ac:dyDescent="0.2">
      <c r="A150" s="1">
        <f t="shared" si="2"/>
        <v>149</v>
      </c>
      <c r="B150" s="1">
        <v>100</v>
      </c>
      <c r="C150" s="1">
        <v>101</v>
      </c>
      <c r="D150" s="1">
        <v>2.7699999999999999E-2</v>
      </c>
      <c r="E150" s="1">
        <v>0.12620000000000001</v>
      </c>
      <c r="F150" s="1">
        <v>3.2800000000000003E-2</v>
      </c>
      <c r="G150" s="1">
        <v>1</v>
      </c>
    </row>
    <row r="151" spans="1:7" x14ac:dyDescent="0.2">
      <c r="A151" s="1">
        <f t="shared" si="2"/>
        <v>150</v>
      </c>
      <c r="B151" s="1">
        <v>100</v>
      </c>
      <c r="C151" s="1">
        <v>103</v>
      </c>
      <c r="D151" s="1">
        <v>1.6E-2</v>
      </c>
      <c r="E151" s="1">
        <v>5.2499999999999998E-2</v>
      </c>
      <c r="F151" s="1">
        <v>5.3600000000000002E-2</v>
      </c>
      <c r="G151" s="1">
        <v>1</v>
      </c>
    </row>
    <row r="152" spans="1:7" x14ac:dyDescent="0.2">
      <c r="A152" s="1">
        <f t="shared" si="2"/>
        <v>151</v>
      </c>
      <c r="B152" s="1">
        <v>100</v>
      </c>
      <c r="C152" s="1">
        <v>104</v>
      </c>
      <c r="D152" s="1">
        <v>4.5100000000000001E-2</v>
      </c>
      <c r="E152" s="1">
        <v>0.20399999999999999</v>
      </c>
      <c r="F152" s="1">
        <v>5.4100000000000002E-2</v>
      </c>
      <c r="G152" s="1">
        <v>1</v>
      </c>
    </row>
    <row r="153" spans="1:7" x14ac:dyDescent="0.2">
      <c r="A153" s="1">
        <f t="shared" si="2"/>
        <v>152</v>
      </c>
      <c r="B153" s="1">
        <v>100</v>
      </c>
      <c r="C153" s="1">
        <v>106</v>
      </c>
      <c r="D153" s="1">
        <v>6.0499999999999998E-2</v>
      </c>
      <c r="E153" s="1">
        <v>0.22900000000000001</v>
      </c>
      <c r="F153" s="1">
        <v>6.2E-2</v>
      </c>
      <c r="G153" s="1">
        <v>1</v>
      </c>
    </row>
    <row r="154" spans="1:7" x14ac:dyDescent="0.2">
      <c r="A154" s="1">
        <f t="shared" si="2"/>
        <v>153</v>
      </c>
      <c r="B154" s="1">
        <v>101</v>
      </c>
      <c r="C154" s="1">
        <v>102</v>
      </c>
      <c r="D154" s="1">
        <v>2.46E-2</v>
      </c>
      <c r="E154" s="1">
        <v>0.112</v>
      </c>
      <c r="F154" s="1">
        <v>2.9399999999999999E-2</v>
      </c>
      <c r="G154" s="1">
        <v>1</v>
      </c>
    </row>
    <row r="155" spans="1:7" x14ac:dyDescent="0.2">
      <c r="A155" s="1">
        <f t="shared" si="2"/>
        <v>154</v>
      </c>
      <c r="B155" s="1">
        <v>103</v>
      </c>
      <c r="C155" s="1">
        <v>104</v>
      </c>
      <c r="D155" s="1">
        <v>4.6600000000000003E-2</v>
      </c>
      <c r="E155" s="1">
        <v>0.15840000000000001</v>
      </c>
      <c r="F155" s="1">
        <v>4.07E-2</v>
      </c>
      <c r="G155" s="1">
        <v>1</v>
      </c>
    </row>
    <row r="156" spans="1:7" x14ac:dyDescent="0.2">
      <c r="A156" s="1">
        <f t="shared" si="2"/>
        <v>155</v>
      </c>
      <c r="B156" s="1">
        <v>103</v>
      </c>
      <c r="C156" s="1">
        <v>105</v>
      </c>
      <c r="D156" s="1">
        <v>5.3499999999999999E-2</v>
      </c>
      <c r="E156" s="1">
        <v>0.16250000000000001</v>
      </c>
      <c r="F156" s="1">
        <v>4.0800000000000003E-2</v>
      </c>
      <c r="G156" s="1">
        <v>1</v>
      </c>
    </row>
    <row r="157" spans="1:7" x14ac:dyDescent="0.2">
      <c r="A157" s="1">
        <f t="shared" si="2"/>
        <v>156</v>
      </c>
      <c r="B157" s="1">
        <v>103</v>
      </c>
      <c r="C157" s="1">
        <v>110</v>
      </c>
      <c r="D157" s="1">
        <v>3.9059999999999997E-2</v>
      </c>
      <c r="E157" s="1">
        <v>0.18129999999999999</v>
      </c>
      <c r="F157" s="1">
        <v>4.6100000000000002E-2</v>
      </c>
      <c r="G157" s="1">
        <v>1</v>
      </c>
    </row>
    <row r="158" spans="1:7" x14ac:dyDescent="0.2">
      <c r="A158" s="1">
        <f t="shared" si="2"/>
        <v>157</v>
      </c>
      <c r="B158" s="1">
        <v>104</v>
      </c>
      <c r="C158" s="1">
        <v>105</v>
      </c>
      <c r="D158" s="1">
        <v>9.9399999999999992E-3</v>
      </c>
      <c r="E158" s="1">
        <v>3.78E-2</v>
      </c>
      <c r="F158" s="1">
        <v>9.8600000000000007E-3</v>
      </c>
      <c r="G158" s="1">
        <v>1</v>
      </c>
    </row>
    <row r="159" spans="1:7" x14ac:dyDescent="0.2">
      <c r="A159" s="1">
        <f t="shared" si="2"/>
        <v>158</v>
      </c>
      <c r="B159" s="1">
        <v>105</v>
      </c>
      <c r="C159" s="1">
        <v>106</v>
      </c>
      <c r="D159" s="1">
        <v>1.4E-2</v>
      </c>
      <c r="E159" s="1">
        <v>5.4699999999999999E-2</v>
      </c>
      <c r="F159" s="1">
        <v>1.434E-2</v>
      </c>
      <c r="G159" s="1">
        <v>1</v>
      </c>
    </row>
    <row r="160" spans="1:7" x14ac:dyDescent="0.2">
      <c r="A160" s="1">
        <f t="shared" si="2"/>
        <v>159</v>
      </c>
      <c r="B160" s="1">
        <v>105</v>
      </c>
      <c r="C160" s="1">
        <v>107</v>
      </c>
      <c r="D160" s="1">
        <v>5.2999999999999999E-2</v>
      </c>
      <c r="E160" s="1">
        <v>0.183</v>
      </c>
      <c r="F160" s="1">
        <v>4.7199999999999999E-2</v>
      </c>
      <c r="G160" s="1">
        <v>1</v>
      </c>
    </row>
    <row r="161" spans="1:7" x14ac:dyDescent="0.2">
      <c r="A161" s="1">
        <f t="shared" si="2"/>
        <v>160</v>
      </c>
      <c r="B161" s="1">
        <v>105</v>
      </c>
      <c r="C161" s="1">
        <v>108</v>
      </c>
      <c r="D161" s="1">
        <v>2.6100000000000002E-2</v>
      </c>
      <c r="E161" s="1">
        <v>7.0300000000000001E-2</v>
      </c>
      <c r="F161" s="1">
        <v>1.8440000000000002E-2</v>
      </c>
      <c r="G161" s="1">
        <v>1</v>
      </c>
    </row>
    <row r="162" spans="1:7" x14ac:dyDescent="0.2">
      <c r="A162" s="1">
        <f t="shared" si="2"/>
        <v>161</v>
      </c>
      <c r="B162" s="1">
        <v>106</v>
      </c>
      <c r="C162" s="1">
        <v>107</v>
      </c>
      <c r="D162" s="1">
        <v>5.2999999999999999E-2</v>
      </c>
      <c r="E162" s="1">
        <v>0.183</v>
      </c>
      <c r="F162" s="1">
        <v>4.7199999999999999E-2</v>
      </c>
      <c r="G162" s="1">
        <v>1</v>
      </c>
    </row>
    <row r="163" spans="1:7" x14ac:dyDescent="0.2">
      <c r="A163" s="1">
        <f t="shared" si="2"/>
        <v>162</v>
      </c>
      <c r="B163" s="1">
        <v>108</v>
      </c>
      <c r="C163" s="1">
        <v>109</v>
      </c>
      <c r="D163" s="1">
        <v>1.0500000000000001E-2</v>
      </c>
      <c r="E163" s="1">
        <v>2.8799999999999999E-2</v>
      </c>
      <c r="F163" s="1">
        <v>7.6E-3</v>
      </c>
      <c r="G163" s="1">
        <v>1</v>
      </c>
    </row>
    <row r="164" spans="1:7" x14ac:dyDescent="0.2">
      <c r="A164" s="1">
        <f t="shared" si="2"/>
        <v>163</v>
      </c>
      <c r="B164" s="1">
        <v>109</v>
      </c>
      <c r="C164" s="1">
        <v>110</v>
      </c>
      <c r="D164" s="1">
        <v>2.7799999999999998E-2</v>
      </c>
      <c r="E164" s="1">
        <v>7.6200000000000004E-2</v>
      </c>
      <c r="F164" s="1">
        <v>2.0199999999999999E-2</v>
      </c>
      <c r="G164" s="1">
        <v>1</v>
      </c>
    </row>
    <row r="165" spans="1:7" x14ac:dyDescent="0.2">
      <c r="A165" s="1">
        <f t="shared" si="2"/>
        <v>164</v>
      </c>
      <c r="B165" s="1">
        <v>110</v>
      </c>
      <c r="C165" s="1">
        <v>112</v>
      </c>
      <c r="D165" s="1">
        <v>2.47E-2</v>
      </c>
      <c r="E165" s="1">
        <v>6.4000000000000001E-2</v>
      </c>
      <c r="F165" s="1">
        <v>6.2E-2</v>
      </c>
      <c r="G165" s="1">
        <v>1</v>
      </c>
    </row>
    <row r="166" spans="1:7" x14ac:dyDescent="0.2">
      <c r="A166" s="1">
        <f t="shared" si="2"/>
        <v>165</v>
      </c>
      <c r="B166" s="1">
        <v>114</v>
      </c>
      <c r="C166" s="1">
        <v>115</v>
      </c>
      <c r="D166" s="1">
        <v>2.3E-3</v>
      </c>
      <c r="E166" s="1">
        <v>1.04E-2</v>
      </c>
      <c r="F166" s="1">
        <v>2.7599999999999999E-3</v>
      </c>
      <c r="G166" s="1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2" sqref="L2"/>
    </sheetView>
  </sheetViews>
  <sheetFormatPr defaultColWidth="8.7109375" defaultRowHeight="12.75" x14ac:dyDescent="0.2"/>
  <cols>
    <col min="1" max="16384" width="8.7109375" style="8"/>
  </cols>
  <sheetData>
    <row r="1" spans="1:12" s="10" customFormat="1" x14ac:dyDescent="0.2">
      <c r="A1" s="10" t="s">
        <v>23</v>
      </c>
      <c r="B1" s="10" t="s">
        <v>1</v>
      </c>
      <c r="C1" s="10" t="s">
        <v>2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I10"/>
  <sheetViews>
    <sheetView workbookViewId="0">
      <selection activeCell="H18" sqref="H18"/>
    </sheetView>
  </sheetViews>
  <sheetFormatPr defaultColWidth="8.7109375" defaultRowHeight="12.75" x14ac:dyDescent="0.2"/>
  <cols>
    <col min="1" max="6" width="8.7109375" style="11"/>
    <col min="7" max="7" width="10.7109375" style="11" bestFit="1" customWidth="1"/>
    <col min="8" max="8" width="8.7109375" style="11"/>
    <col min="9" max="16384" width="8.7109375" style="13"/>
  </cols>
  <sheetData>
    <row r="1" spans="1:9" s="27" customFormat="1" x14ac:dyDescent="0.2">
      <c r="A1" s="21" t="s">
        <v>23</v>
      </c>
      <c r="B1" s="21" t="s">
        <v>1</v>
      </c>
      <c r="C1" s="21" t="s">
        <v>2</v>
      </c>
      <c r="D1" s="21" t="s">
        <v>9</v>
      </c>
      <c r="E1" s="21" t="s">
        <v>13</v>
      </c>
      <c r="F1" s="21" t="s">
        <v>10</v>
      </c>
      <c r="G1" s="21" t="s">
        <v>11</v>
      </c>
      <c r="H1" s="21" t="s">
        <v>12</v>
      </c>
      <c r="I1" s="21" t="s">
        <v>77</v>
      </c>
    </row>
    <row r="2" spans="1:9" x14ac:dyDescent="0.2">
      <c r="A2" s="11">
        <v>1</v>
      </c>
      <c r="B2" s="11">
        <v>5</v>
      </c>
      <c r="C2" s="11">
        <v>8</v>
      </c>
      <c r="D2" s="11">
        <v>0</v>
      </c>
      <c r="E2" s="11">
        <v>1E-4</v>
      </c>
      <c r="F2" s="12">
        <v>0</v>
      </c>
      <c r="G2" s="11">
        <v>1</v>
      </c>
      <c r="H2" s="11">
        <v>0</v>
      </c>
      <c r="I2">
        <v>1</v>
      </c>
    </row>
    <row r="3" spans="1:9" x14ac:dyDescent="0.2">
      <c r="A3" s="11">
        <f>A2+1</f>
        <v>2</v>
      </c>
      <c r="B3" s="11">
        <v>17</v>
      </c>
      <c r="C3" s="11">
        <v>30</v>
      </c>
      <c r="D3" s="11">
        <v>0</v>
      </c>
      <c r="E3" s="11">
        <v>1E-4</v>
      </c>
      <c r="F3" s="12">
        <v>0</v>
      </c>
      <c r="G3" s="11">
        <v>1</v>
      </c>
      <c r="H3" s="11">
        <v>0</v>
      </c>
      <c r="I3">
        <v>1</v>
      </c>
    </row>
    <row r="4" spans="1:9" x14ac:dyDescent="0.2">
      <c r="A4" s="11">
        <f t="shared" ref="A4:A10" si="0">A3+1</f>
        <v>3</v>
      </c>
      <c r="B4" s="11">
        <v>25</v>
      </c>
      <c r="C4" s="11">
        <v>26</v>
      </c>
      <c r="D4" s="11">
        <v>0</v>
      </c>
      <c r="E4" s="40">
        <v>1E-4</v>
      </c>
      <c r="F4" s="12">
        <v>0</v>
      </c>
      <c r="G4" s="11">
        <v>1</v>
      </c>
      <c r="H4" s="11">
        <v>0</v>
      </c>
      <c r="I4">
        <v>1</v>
      </c>
    </row>
    <row r="5" spans="1:9" x14ac:dyDescent="0.2">
      <c r="A5" s="11">
        <f t="shared" si="0"/>
        <v>4</v>
      </c>
      <c r="B5" s="11">
        <v>37</v>
      </c>
      <c r="C5" s="11">
        <v>38</v>
      </c>
      <c r="D5" s="12">
        <v>0</v>
      </c>
      <c r="E5" s="40">
        <v>1E-4</v>
      </c>
      <c r="F5" s="12">
        <v>0</v>
      </c>
      <c r="G5" s="11">
        <v>1</v>
      </c>
      <c r="H5" s="11">
        <v>0</v>
      </c>
      <c r="I5">
        <v>1</v>
      </c>
    </row>
    <row r="6" spans="1:9" x14ac:dyDescent="0.2">
      <c r="A6" s="11">
        <f t="shared" si="0"/>
        <v>5</v>
      </c>
      <c r="B6" s="11">
        <v>59</v>
      </c>
      <c r="C6" s="11">
        <v>63</v>
      </c>
      <c r="D6" s="12">
        <v>0</v>
      </c>
      <c r="E6" s="40">
        <v>1E-4</v>
      </c>
      <c r="F6" s="12">
        <v>0</v>
      </c>
      <c r="G6" s="11">
        <v>1</v>
      </c>
      <c r="H6" s="11">
        <v>0</v>
      </c>
      <c r="I6">
        <v>1</v>
      </c>
    </row>
    <row r="7" spans="1:9" x14ac:dyDescent="0.2">
      <c r="A7" s="11">
        <f t="shared" si="0"/>
        <v>6</v>
      </c>
      <c r="B7" s="11">
        <v>61</v>
      </c>
      <c r="C7" s="11">
        <v>64</v>
      </c>
      <c r="D7" s="11">
        <v>0</v>
      </c>
      <c r="E7" s="11">
        <v>1E-4</v>
      </c>
      <c r="F7" s="12">
        <v>0</v>
      </c>
      <c r="G7" s="11">
        <v>1</v>
      </c>
      <c r="H7" s="11">
        <v>0</v>
      </c>
      <c r="I7">
        <v>1</v>
      </c>
    </row>
    <row r="8" spans="1:9" x14ac:dyDescent="0.2">
      <c r="A8" s="11">
        <f t="shared" si="0"/>
        <v>7</v>
      </c>
      <c r="B8" s="11">
        <v>65</v>
      </c>
      <c r="C8" s="11">
        <v>66</v>
      </c>
      <c r="D8" s="11">
        <v>0</v>
      </c>
      <c r="E8" s="11">
        <v>1E-4</v>
      </c>
      <c r="F8" s="12">
        <v>0</v>
      </c>
      <c r="G8" s="11">
        <v>1</v>
      </c>
      <c r="H8" s="11">
        <v>0</v>
      </c>
      <c r="I8">
        <v>1</v>
      </c>
    </row>
    <row r="9" spans="1:9" x14ac:dyDescent="0.2">
      <c r="A9" s="11">
        <f t="shared" si="0"/>
        <v>8</v>
      </c>
      <c r="B9" s="11">
        <v>68</v>
      </c>
      <c r="C9" s="11">
        <v>69</v>
      </c>
      <c r="D9" s="11">
        <v>0</v>
      </c>
      <c r="E9" s="11">
        <v>1E-4</v>
      </c>
      <c r="F9" s="11">
        <v>0</v>
      </c>
      <c r="G9" s="11">
        <v>1</v>
      </c>
      <c r="H9" s="11">
        <v>0</v>
      </c>
      <c r="I9">
        <v>1</v>
      </c>
    </row>
    <row r="10" spans="1:9" x14ac:dyDescent="0.2">
      <c r="A10" s="11">
        <f t="shared" si="0"/>
        <v>9</v>
      </c>
      <c r="B10" s="11">
        <v>80</v>
      </c>
      <c r="C10" s="11">
        <v>81</v>
      </c>
      <c r="D10" s="11">
        <v>0</v>
      </c>
      <c r="E10" s="11">
        <v>1E-4</v>
      </c>
      <c r="F10" s="11">
        <v>0</v>
      </c>
      <c r="G10" s="11">
        <v>1</v>
      </c>
      <c r="H10" s="11">
        <v>0</v>
      </c>
      <c r="I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"/>
  <sheetViews>
    <sheetView zoomScale="93" zoomScaleNormal="93" workbookViewId="0">
      <selection activeCell="G11" sqref="G11"/>
    </sheetView>
  </sheetViews>
  <sheetFormatPr defaultColWidth="8.7109375" defaultRowHeight="12.75" x14ac:dyDescent="0.2"/>
  <cols>
    <col min="1" max="4" width="8.7109375" style="2"/>
    <col min="7" max="7" width="8.7109375" style="10"/>
    <col min="8" max="10" width="8.7109375" style="2"/>
    <col min="11" max="11" width="9.7109375" style="2" bestFit="1" customWidth="1"/>
    <col min="12" max="12" width="11.7109375" style="2" bestFit="1" customWidth="1"/>
    <col min="13" max="16384" width="8.7109375" style="2"/>
  </cols>
  <sheetData>
    <row r="1" spans="1:11" s="19" customFormat="1" ht="15" x14ac:dyDescent="0.2">
      <c r="A1" s="32" t="s">
        <v>23</v>
      </c>
      <c r="B1" s="32" t="s">
        <v>0</v>
      </c>
      <c r="C1" s="32" t="s">
        <v>9</v>
      </c>
      <c r="D1" s="32" t="s">
        <v>13</v>
      </c>
      <c r="E1" s="58" t="s">
        <v>25</v>
      </c>
      <c r="F1" s="58" t="s">
        <v>6</v>
      </c>
      <c r="G1" s="21" t="s">
        <v>3</v>
      </c>
      <c r="H1" s="21" t="s">
        <v>77</v>
      </c>
    </row>
    <row r="2" spans="1:11" s="29" customFormat="1" x14ac:dyDescent="0.2">
      <c r="A2">
        <v>1</v>
      </c>
      <c r="B2">
        <v>1</v>
      </c>
      <c r="C2">
        <v>0.65916893716873504</v>
      </c>
      <c r="D2">
        <v>3.2461995716441279</v>
      </c>
      <c r="E2">
        <v>1.382958879031619</v>
      </c>
      <c r="F2">
        <v>0.2808217776880646</v>
      </c>
      <c r="G2" t="s">
        <v>91</v>
      </c>
      <c r="H2">
        <v>1</v>
      </c>
      <c r="J2" s="43"/>
      <c r="K2" s="43"/>
    </row>
    <row r="3" spans="1:11" s="29" customFormat="1" x14ac:dyDescent="0.2">
      <c r="A3">
        <v>2</v>
      </c>
      <c r="B3">
        <v>2</v>
      </c>
      <c r="C3">
        <v>1.8431555774029369</v>
      </c>
      <c r="D3">
        <v>9.0769611680097988</v>
      </c>
      <c r="E3">
        <v>0.54230171246532566</v>
      </c>
      <c r="F3">
        <v>0.1101190593927359</v>
      </c>
      <c r="G3" t="s">
        <v>91</v>
      </c>
      <c r="H3">
        <v>1</v>
      </c>
      <c r="J3" s="43"/>
      <c r="K3" s="43"/>
    </row>
    <row r="4" spans="1:11" s="29" customFormat="1" x14ac:dyDescent="0.2">
      <c r="A4">
        <v>3</v>
      </c>
      <c r="B4">
        <v>3</v>
      </c>
      <c r="C4">
        <v>0.88577346391866063</v>
      </c>
      <c r="D4">
        <v>4.362155552257831</v>
      </c>
      <c r="E4">
        <v>1.0575267184520809</v>
      </c>
      <c r="F4">
        <v>0.21473995903355331</v>
      </c>
      <c r="G4" t="s">
        <v>91</v>
      </c>
      <c r="H4">
        <v>1</v>
      </c>
      <c r="J4" s="43"/>
      <c r="K4" s="43"/>
    </row>
    <row r="5" spans="1:11" s="29" customFormat="1" x14ac:dyDescent="0.2">
      <c r="A5">
        <v>4</v>
      </c>
      <c r="B5">
        <v>4</v>
      </c>
      <c r="C5">
        <v>1.240101704728219</v>
      </c>
      <c r="D5">
        <v>6.107110629294433</v>
      </c>
      <c r="E5">
        <v>0.81358034280997005</v>
      </c>
      <c r="F5">
        <v>0.16520453472914659</v>
      </c>
      <c r="G5" t="s">
        <v>91</v>
      </c>
      <c r="H5">
        <v>1</v>
      </c>
      <c r="J5" s="43"/>
      <c r="K5" s="43"/>
    </row>
    <row r="6" spans="1:11" s="29" customFormat="1" x14ac:dyDescent="0.2">
      <c r="A6">
        <v>5</v>
      </c>
      <c r="B6">
        <v>6</v>
      </c>
      <c r="C6">
        <v>0.71688762605837286</v>
      </c>
      <c r="D6">
        <v>3.5304459500523402</v>
      </c>
      <c r="E6">
        <v>1.41003558551019</v>
      </c>
      <c r="F6">
        <v>0.28631993743998319</v>
      </c>
      <c r="G6" t="s">
        <v>91</v>
      </c>
      <c r="H6">
        <v>1</v>
      </c>
      <c r="J6" s="43"/>
      <c r="K6" s="43"/>
    </row>
    <row r="7" spans="1:11" s="29" customFormat="1" x14ac:dyDescent="0.2">
      <c r="A7">
        <v>6</v>
      </c>
      <c r="B7">
        <v>7</v>
      </c>
      <c r="C7">
        <v>2.0096975022937951</v>
      </c>
      <c r="D7">
        <v>9.8971277364825188</v>
      </c>
      <c r="E7">
        <v>0.51522500598675502</v>
      </c>
      <c r="F7">
        <v>0.10462089964081731</v>
      </c>
      <c r="G7" t="s">
        <v>91</v>
      </c>
      <c r="H7">
        <v>1</v>
      </c>
      <c r="J7" s="43"/>
      <c r="K7" s="43"/>
    </row>
    <row r="8" spans="1:11" s="29" customFormat="1" x14ac:dyDescent="0.2">
      <c r="A8">
        <v>7</v>
      </c>
      <c r="B8">
        <v>11</v>
      </c>
      <c r="C8">
        <v>0.54189098656489443</v>
      </c>
      <c r="D8">
        <v>2.668642572904615</v>
      </c>
      <c r="E8">
        <v>1.8981837677406219</v>
      </c>
      <c r="F8">
        <v>0.38544265351461848</v>
      </c>
      <c r="G8" t="s">
        <v>91</v>
      </c>
      <c r="H8">
        <v>1</v>
      </c>
      <c r="J8" s="43"/>
      <c r="K8" s="43"/>
    </row>
    <row r="9" spans="1:11" s="29" customFormat="1" x14ac:dyDescent="0.2">
      <c r="A9">
        <v>8</v>
      </c>
      <c r="B9">
        <v>12</v>
      </c>
      <c r="C9">
        <v>0.8626573819770732</v>
      </c>
      <c r="D9">
        <v>4.2483161234473954</v>
      </c>
      <c r="E9">
        <v>1.274396358296183</v>
      </c>
      <c r="F9">
        <v>0.25877721763247552</v>
      </c>
      <c r="G9" t="s">
        <v>91</v>
      </c>
      <c r="H9">
        <v>1</v>
      </c>
      <c r="J9" s="43"/>
      <c r="K9" s="43"/>
    </row>
    <row r="10" spans="1:11" s="29" customFormat="1" x14ac:dyDescent="0.2">
      <c r="A10">
        <v>9</v>
      </c>
      <c r="B10">
        <v>13</v>
      </c>
      <c r="C10">
        <v>1.0427336980026261</v>
      </c>
      <c r="D10">
        <v>5.135135308914812</v>
      </c>
      <c r="E10">
        <v>0.9218874032797586</v>
      </c>
      <c r="F10">
        <v>0.187197221365348</v>
      </c>
      <c r="G10" t="s">
        <v>91</v>
      </c>
      <c r="H10">
        <v>1</v>
      </c>
      <c r="J10" s="43"/>
      <c r="K10" s="43"/>
    </row>
    <row r="11" spans="1:11" s="29" customFormat="1" x14ac:dyDescent="0.2">
      <c r="A11">
        <v>10</v>
      </c>
      <c r="B11">
        <v>14</v>
      </c>
      <c r="C11">
        <v>2.7491640197479059</v>
      </c>
      <c r="D11">
        <v>13.538767620963659</v>
      </c>
      <c r="E11">
        <v>0.37958569081443289</v>
      </c>
      <c r="F11">
        <v>7.7078161972612025E-2</v>
      </c>
      <c r="G11" t="s">
        <v>91</v>
      </c>
      <c r="H11">
        <v>1</v>
      </c>
      <c r="J11" s="43"/>
      <c r="K11" s="43"/>
    </row>
    <row r="12" spans="1:11" s="29" customFormat="1" x14ac:dyDescent="0.2">
      <c r="A12">
        <v>11</v>
      </c>
      <c r="B12">
        <v>15</v>
      </c>
      <c r="C12">
        <v>0.39367962442554971</v>
      </c>
      <c r="D12">
        <v>1.9387482572591339</v>
      </c>
      <c r="E12">
        <v>2.4404855681642621</v>
      </c>
      <c r="F12">
        <v>0.49556173076805199</v>
      </c>
      <c r="G12" t="s">
        <v>91</v>
      </c>
      <c r="H12">
        <v>1</v>
      </c>
      <c r="J12" s="43"/>
      <c r="K12" s="43"/>
    </row>
    <row r="13" spans="1:11" s="29" customFormat="1" x14ac:dyDescent="0.2">
      <c r="A13">
        <v>12</v>
      </c>
      <c r="B13">
        <v>16</v>
      </c>
      <c r="C13">
        <v>1.5479010775623001</v>
      </c>
      <c r="D13">
        <v>7.6229256744299034</v>
      </c>
      <c r="E13">
        <v>0.67794102763764785</v>
      </c>
      <c r="F13">
        <v>0.13766179706094131</v>
      </c>
      <c r="G13" t="s">
        <v>91</v>
      </c>
      <c r="H13">
        <v>1</v>
      </c>
      <c r="J13" s="43"/>
      <c r="K13" s="43"/>
    </row>
    <row r="14" spans="1:11" s="29" customFormat="1" x14ac:dyDescent="0.2">
      <c r="A14">
        <v>13</v>
      </c>
      <c r="B14">
        <v>17</v>
      </c>
      <c r="C14">
        <v>3.5921514804921721</v>
      </c>
      <c r="D14">
        <v>17.690215572566562</v>
      </c>
      <c r="E14">
        <v>0.29109643029628601</v>
      </c>
      <c r="F14">
        <v>5.9109651251303623E-2</v>
      </c>
      <c r="G14" t="s">
        <v>91</v>
      </c>
      <c r="H14">
        <v>1</v>
      </c>
      <c r="J14" s="43"/>
      <c r="K14" s="43"/>
    </row>
    <row r="15" spans="1:11" s="29" customFormat="1" x14ac:dyDescent="0.2">
      <c r="A15">
        <v>14</v>
      </c>
      <c r="B15">
        <v>18</v>
      </c>
      <c r="C15">
        <v>0.59217266051611162</v>
      </c>
      <c r="D15">
        <v>2.916263993208601</v>
      </c>
      <c r="E15">
        <v>1.6269052253542919</v>
      </c>
      <c r="F15">
        <v>0.3303571960389054</v>
      </c>
      <c r="G15" t="s">
        <v>91</v>
      </c>
      <c r="H15">
        <v>1</v>
      </c>
      <c r="J15" s="43"/>
      <c r="K15" s="43"/>
    </row>
    <row r="16" spans="1:11" s="29" customFormat="1" x14ac:dyDescent="0.2">
      <c r="A16">
        <v>15</v>
      </c>
      <c r="B16">
        <v>19</v>
      </c>
      <c r="C16">
        <v>0.78630565409585185</v>
      </c>
      <c r="D16">
        <v>3.8723078919204532</v>
      </c>
      <c r="E16">
        <v>1.220242740102973</v>
      </c>
      <c r="F16">
        <v>0.2477808564536772</v>
      </c>
      <c r="G16" t="s">
        <v>91</v>
      </c>
      <c r="H16">
        <v>1</v>
      </c>
      <c r="J16" s="43"/>
      <c r="K16" s="43"/>
    </row>
    <row r="17" spans="1:11" s="29" customFormat="1" x14ac:dyDescent="0.2">
      <c r="A17">
        <v>16</v>
      </c>
      <c r="B17">
        <v>20</v>
      </c>
      <c r="C17">
        <v>1.862757588210828</v>
      </c>
      <c r="D17">
        <v>9.173494902383343</v>
      </c>
      <c r="E17">
        <v>0.48814818223043138</v>
      </c>
      <c r="F17">
        <v>9.9122716074635256E-2</v>
      </c>
      <c r="G17" t="s">
        <v>91</v>
      </c>
      <c r="H17">
        <v>1</v>
      </c>
      <c r="J17" s="43"/>
      <c r="K17" s="43"/>
    </row>
    <row r="18" spans="1:11" s="29" customFormat="1" x14ac:dyDescent="0.2">
      <c r="A18">
        <v>17</v>
      </c>
      <c r="B18">
        <v>21</v>
      </c>
      <c r="C18">
        <v>2.38583339536904</v>
      </c>
      <c r="D18">
        <v>11.74947863794541</v>
      </c>
      <c r="E18">
        <v>0.37958569081443289</v>
      </c>
      <c r="F18">
        <v>7.7078161972612025E-2</v>
      </c>
      <c r="G18" t="s">
        <v>91</v>
      </c>
      <c r="H18">
        <v>1</v>
      </c>
      <c r="J18" s="43"/>
      <c r="K18" s="43"/>
    </row>
    <row r="19" spans="1:11" s="29" customFormat="1" x14ac:dyDescent="0.2">
      <c r="A19">
        <v>18</v>
      </c>
      <c r="B19">
        <v>22</v>
      </c>
      <c r="C19">
        <v>3.4309267589624111</v>
      </c>
      <c r="D19">
        <v>16.896234557295539</v>
      </c>
      <c r="E19">
        <v>0.27127863034464422</v>
      </c>
      <c r="F19">
        <v>5.508547533641061E-2</v>
      </c>
      <c r="G19" t="s">
        <v>91</v>
      </c>
      <c r="H19">
        <v>1</v>
      </c>
      <c r="J19" s="43"/>
      <c r="K19" s="43"/>
    </row>
    <row r="20" spans="1:11" s="29" customFormat="1" x14ac:dyDescent="0.2">
      <c r="A20">
        <v>19</v>
      </c>
      <c r="B20">
        <v>23</v>
      </c>
      <c r="C20">
        <v>5.3659579562038857</v>
      </c>
      <c r="D20">
        <v>26.42565423927207</v>
      </c>
      <c r="E20">
        <v>0.1897928454072165</v>
      </c>
      <c r="F20">
        <v>3.8539080986306012E-2</v>
      </c>
      <c r="G20" t="s">
        <v>91</v>
      </c>
      <c r="H20">
        <v>1</v>
      </c>
      <c r="J20" s="43"/>
      <c r="K20" s="43"/>
    </row>
    <row r="21" spans="1:11" s="29" customFormat="1" x14ac:dyDescent="0.2">
      <c r="A21">
        <v>20</v>
      </c>
      <c r="B21">
        <v>27</v>
      </c>
      <c r="C21">
        <v>0.58293062756616254</v>
      </c>
      <c r="D21">
        <v>2.870749889446206</v>
      </c>
      <c r="E21">
        <v>1.681314215854834</v>
      </c>
      <c r="F21">
        <v>0.34140541277639391</v>
      </c>
      <c r="G21" t="s">
        <v>91</v>
      </c>
      <c r="H21">
        <v>1</v>
      </c>
      <c r="J21" s="43"/>
      <c r="K21" s="43"/>
    </row>
    <row r="22" spans="1:11" s="29" customFormat="1" x14ac:dyDescent="0.2">
      <c r="A22">
        <v>21</v>
      </c>
      <c r="B22">
        <v>28</v>
      </c>
      <c r="C22">
        <v>2.0781604708695478</v>
      </c>
      <c r="D22">
        <v>10.23428631106384</v>
      </c>
      <c r="E22">
        <v>0.46107138779354578</v>
      </c>
      <c r="F22">
        <v>9.3624538462019014E-2</v>
      </c>
      <c r="G22" t="s">
        <v>91</v>
      </c>
      <c r="H22">
        <v>1</v>
      </c>
      <c r="J22" s="43"/>
      <c r="K22" s="43"/>
    </row>
    <row r="23" spans="1:11" s="29" customFormat="1" x14ac:dyDescent="0.2">
      <c r="A23">
        <v>22</v>
      </c>
      <c r="B23">
        <v>29</v>
      </c>
      <c r="C23">
        <v>1.488899117692108</v>
      </c>
      <c r="D23">
        <v>7.3323595902945522</v>
      </c>
      <c r="E23">
        <v>0.65086423320076237</v>
      </c>
      <c r="F23">
        <v>0.132163619448325</v>
      </c>
      <c r="G23" t="s">
        <v>91</v>
      </c>
      <c r="H23">
        <v>1</v>
      </c>
      <c r="J23" s="43"/>
      <c r="K23" s="43"/>
    </row>
    <row r="24" spans="1:11" s="29" customFormat="1" x14ac:dyDescent="0.2">
      <c r="A24">
        <v>23</v>
      </c>
      <c r="B24">
        <v>31</v>
      </c>
      <c r="C24">
        <v>0.8547167122545607</v>
      </c>
      <c r="D24">
        <v>4.2092108240343107</v>
      </c>
      <c r="E24">
        <v>1.1660892098680791</v>
      </c>
      <c r="F24">
        <v>0.2367845131355765</v>
      </c>
      <c r="G24" t="s">
        <v>91</v>
      </c>
      <c r="H24">
        <v>1</v>
      </c>
      <c r="J24" s="43"/>
      <c r="K24" s="43"/>
    </row>
    <row r="25" spans="1:11" s="29" customFormat="1" x14ac:dyDescent="0.2">
      <c r="A25">
        <v>24</v>
      </c>
      <c r="B25">
        <v>32</v>
      </c>
      <c r="C25">
        <v>0.6689533170184675</v>
      </c>
      <c r="D25">
        <v>3.2943845632085509</v>
      </c>
      <c r="E25">
        <v>1.599828430917406</v>
      </c>
      <c r="F25">
        <v>0.32485901842628923</v>
      </c>
      <c r="G25" t="s">
        <v>91</v>
      </c>
      <c r="H25">
        <v>1</v>
      </c>
      <c r="J25" s="43"/>
      <c r="K25" s="43"/>
    </row>
    <row r="26" spans="1:11" s="29" customFormat="1" x14ac:dyDescent="0.2">
      <c r="A26">
        <v>25</v>
      </c>
      <c r="B26">
        <v>33</v>
      </c>
      <c r="C26">
        <v>2.5125834429061649</v>
      </c>
      <c r="D26">
        <v>12.3736827331629</v>
      </c>
      <c r="E26">
        <v>0.38895574349400552</v>
      </c>
      <c r="F26">
        <v>7.8980832319796079E-2</v>
      </c>
      <c r="G26" t="s">
        <v>91</v>
      </c>
      <c r="H26">
        <v>1</v>
      </c>
      <c r="J26" s="43"/>
      <c r="K26" s="43"/>
    </row>
    <row r="27" spans="1:11" s="29" customFormat="1" x14ac:dyDescent="0.2">
      <c r="A27">
        <v>26</v>
      </c>
      <c r="B27">
        <v>34</v>
      </c>
      <c r="C27">
        <v>1.052225405217607</v>
      </c>
      <c r="D27">
        <v>5.1818789798586922</v>
      </c>
      <c r="E27">
        <v>0.99755515616460688</v>
      </c>
      <c r="F27">
        <v>0.2025622139193301</v>
      </c>
      <c r="G27" t="s">
        <v>91</v>
      </c>
      <c r="H27">
        <v>1</v>
      </c>
      <c r="J27" s="43"/>
      <c r="K27" s="43"/>
    </row>
    <row r="28" spans="1:11" s="29" customFormat="1" x14ac:dyDescent="0.2">
      <c r="A28">
        <v>27</v>
      </c>
      <c r="B28">
        <v>35</v>
      </c>
      <c r="C28">
        <v>1.8836621412465691</v>
      </c>
      <c r="D28">
        <v>9.2764432473122014</v>
      </c>
      <c r="E28">
        <v>0.55794920347573318</v>
      </c>
      <c r="F28">
        <v>0.1132964179595919</v>
      </c>
      <c r="G28" t="s">
        <v>91</v>
      </c>
      <c r="H28">
        <v>1</v>
      </c>
      <c r="J28" s="43"/>
      <c r="K28" s="43"/>
    </row>
    <row r="29" spans="1:11" s="29" customFormat="1" x14ac:dyDescent="0.2">
      <c r="A29">
        <v>28</v>
      </c>
      <c r="B29">
        <v>36</v>
      </c>
      <c r="C29">
        <v>2.012542683105973</v>
      </c>
      <c r="D29">
        <v>9.9111393565892136</v>
      </c>
      <c r="E29">
        <v>0.52418232893379835</v>
      </c>
      <c r="F29">
        <v>0.10643976164131019</v>
      </c>
      <c r="G29" t="s">
        <v>91</v>
      </c>
      <c r="H29">
        <v>1</v>
      </c>
      <c r="J29" s="43"/>
      <c r="K29" s="43"/>
    </row>
    <row r="30" spans="1:11" s="29" customFormat="1" x14ac:dyDescent="0.2">
      <c r="A30">
        <v>29</v>
      </c>
      <c r="B30">
        <v>37</v>
      </c>
      <c r="C30">
        <v>2.452416447562058</v>
      </c>
      <c r="D30">
        <v>12.07737921596128</v>
      </c>
      <c r="E30">
        <v>0.43004934042358811</v>
      </c>
      <c r="F30">
        <v>8.732524307295074E-2</v>
      </c>
      <c r="G30" t="s">
        <v>91</v>
      </c>
      <c r="H30">
        <v>1</v>
      </c>
      <c r="J30" s="43"/>
      <c r="K30" s="43"/>
    </row>
    <row r="31" spans="1:11" s="29" customFormat="1" x14ac:dyDescent="0.2">
      <c r="A31">
        <v>30</v>
      </c>
      <c r="B31">
        <v>40</v>
      </c>
      <c r="C31">
        <v>3.2919428788406671</v>
      </c>
      <c r="D31">
        <v>16.21178268664989</v>
      </c>
      <c r="E31">
        <v>0.3151595969511336</v>
      </c>
      <c r="F31">
        <v>6.3995885642849817E-2</v>
      </c>
      <c r="G31" t="s">
        <v>91</v>
      </c>
      <c r="H31">
        <v>1</v>
      </c>
      <c r="J31" s="43"/>
      <c r="K31" s="43"/>
    </row>
    <row r="32" spans="1:11" s="29" customFormat="1" x14ac:dyDescent="0.2">
      <c r="A32">
        <v>31</v>
      </c>
      <c r="B32">
        <v>41</v>
      </c>
      <c r="C32">
        <v>1.714865998433603</v>
      </c>
      <c r="D32">
        <v>8.4451753649872643</v>
      </c>
      <c r="E32">
        <v>0.58932683699303168</v>
      </c>
      <c r="F32">
        <v>0.1196679181954792</v>
      </c>
      <c r="G32" t="s">
        <v>91</v>
      </c>
      <c r="H32">
        <v>1</v>
      </c>
      <c r="J32" s="43"/>
      <c r="K32" s="43"/>
    </row>
    <row r="33" spans="1:11" s="29" customFormat="1" x14ac:dyDescent="0.2">
      <c r="A33">
        <v>32</v>
      </c>
      <c r="B33">
        <v>42</v>
      </c>
      <c r="C33">
        <v>1.716766559270585</v>
      </c>
      <c r="D33">
        <v>8.4545350289929679</v>
      </c>
      <c r="E33">
        <v>0.58932683699303168</v>
      </c>
      <c r="F33">
        <v>0.1196679181954792</v>
      </c>
      <c r="G33" t="s">
        <v>91</v>
      </c>
      <c r="H33">
        <v>1</v>
      </c>
      <c r="J33" s="43"/>
      <c r="K33" s="43"/>
    </row>
    <row r="34" spans="1:11" s="29" customFormat="1" x14ac:dyDescent="0.2">
      <c r="A34">
        <v>33</v>
      </c>
      <c r="B34">
        <v>43</v>
      </c>
      <c r="C34">
        <v>3.478316695091185</v>
      </c>
      <c r="D34">
        <v>17.129615078869008</v>
      </c>
      <c r="E34">
        <v>0.28669957005553809</v>
      </c>
      <c r="F34">
        <v>5.8216830699822447E-2</v>
      </c>
      <c r="G34" t="s">
        <v>91</v>
      </c>
      <c r="H34">
        <v>1</v>
      </c>
      <c r="J34" s="43"/>
      <c r="K34" s="43"/>
    </row>
    <row r="35" spans="1:11" s="29" customFormat="1" x14ac:dyDescent="0.2">
      <c r="A35">
        <v>34</v>
      </c>
      <c r="B35">
        <v>44</v>
      </c>
      <c r="C35">
        <v>3.7823777387417419</v>
      </c>
      <c r="D35">
        <v>18.627020029247369</v>
      </c>
      <c r="E35">
        <v>0.25484405901387402</v>
      </c>
      <c r="F35">
        <v>5.1748293293890413E-2</v>
      </c>
      <c r="G35" t="s">
        <v>91</v>
      </c>
      <c r="H35">
        <v>1</v>
      </c>
      <c r="J35" s="43"/>
      <c r="K35" s="43"/>
    </row>
    <row r="36" spans="1:11" s="29" customFormat="1" x14ac:dyDescent="0.2">
      <c r="A36">
        <v>35</v>
      </c>
      <c r="B36">
        <v>45</v>
      </c>
      <c r="C36">
        <v>1.147637651753644</v>
      </c>
      <c r="D36">
        <v>5.6517542673156989</v>
      </c>
      <c r="E36">
        <v>0.84417089600690576</v>
      </c>
      <c r="F36">
        <v>0.17141621148936961</v>
      </c>
      <c r="G36" t="s">
        <v>91</v>
      </c>
      <c r="H36">
        <v>1</v>
      </c>
      <c r="J36" s="43"/>
      <c r="K36" s="43"/>
    </row>
    <row r="37" spans="1:11" s="29" customFormat="1" x14ac:dyDescent="0.2">
      <c r="A37">
        <v>36</v>
      </c>
      <c r="B37">
        <v>46</v>
      </c>
      <c r="C37">
        <v>2.3827492710592519</v>
      </c>
      <c r="D37">
        <v>11.73429029630976</v>
      </c>
      <c r="E37">
        <v>0.44597706662498182</v>
      </c>
      <c r="F37">
        <v>9.0559505822350894E-2</v>
      </c>
      <c r="G37" t="s">
        <v>91</v>
      </c>
      <c r="H37">
        <v>1</v>
      </c>
      <c r="J37" s="43"/>
      <c r="K37" s="43"/>
    </row>
    <row r="38" spans="1:11" s="29" customFormat="1" x14ac:dyDescent="0.2">
      <c r="A38">
        <v>37</v>
      </c>
      <c r="B38">
        <v>47</v>
      </c>
      <c r="C38">
        <v>1.914979756166246</v>
      </c>
      <c r="D38">
        <v>9.4306726449744112</v>
      </c>
      <c r="E38">
        <v>0.54154357043053569</v>
      </c>
      <c r="F38">
        <v>0.10996511208658109</v>
      </c>
      <c r="G38" t="s">
        <v>91</v>
      </c>
      <c r="H38">
        <v>1</v>
      </c>
      <c r="J38" s="43"/>
      <c r="K38" s="43"/>
    </row>
    <row r="39" spans="1:11" s="29" customFormat="1" x14ac:dyDescent="0.2">
      <c r="A39">
        <v>38</v>
      </c>
      <c r="B39">
        <v>48</v>
      </c>
      <c r="C39">
        <v>3.248897653551726</v>
      </c>
      <c r="D39">
        <v>15.999798498659381</v>
      </c>
      <c r="E39">
        <v>0.31855508109720221</v>
      </c>
      <c r="F39">
        <v>6.4685368105754482E-2</v>
      </c>
      <c r="G39" t="s">
        <v>91</v>
      </c>
      <c r="H39">
        <v>1</v>
      </c>
      <c r="J39" s="43"/>
      <c r="K39" s="43"/>
    </row>
    <row r="40" spans="1:11" s="29" customFormat="1" x14ac:dyDescent="0.2">
      <c r="A40">
        <v>39</v>
      </c>
      <c r="B40">
        <v>49</v>
      </c>
      <c r="C40">
        <v>0.75226703540056394</v>
      </c>
      <c r="D40">
        <v>3.704678406977481</v>
      </c>
      <c r="E40">
        <v>1.3857144957568801</v>
      </c>
      <c r="F40">
        <v>0.28138132952951672</v>
      </c>
      <c r="G40" t="s">
        <v>91</v>
      </c>
      <c r="H40">
        <v>1</v>
      </c>
      <c r="J40" s="43"/>
      <c r="K40" s="43"/>
    </row>
    <row r="41" spans="1:11" s="29" customFormat="1" x14ac:dyDescent="0.2">
      <c r="A41">
        <v>40</v>
      </c>
      <c r="B41">
        <v>50</v>
      </c>
      <c r="C41">
        <v>3.7039717673259949</v>
      </c>
      <c r="D41">
        <v>18.240895294794068</v>
      </c>
      <c r="E41">
        <v>0.27077181453470611</v>
      </c>
      <c r="F41">
        <v>5.4982561996856437E-2</v>
      </c>
      <c r="G41" t="s">
        <v>91</v>
      </c>
      <c r="H41">
        <v>1</v>
      </c>
      <c r="J41" s="43"/>
      <c r="K41" s="43"/>
    </row>
    <row r="42" spans="1:11" s="29" customFormat="1" x14ac:dyDescent="0.2">
      <c r="A42">
        <v>41</v>
      </c>
      <c r="B42">
        <v>51</v>
      </c>
      <c r="C42">
        <v>3.5279456449643241</v>
      </c>
      <c r="D42">
        <v>17.37402203850414</v>
      </c>
      <c r="E42">
        <v>0.27077181453470611</v>
      </c>
      <c r="F42">
        <v>5.4982561996856437E-2</v>
      </c>
      <c r="G42" t="s">
        <v>91</v>
      </c>
      <c r="H42">
        <v>1</v>
      </c>
      <c r="J42" s="43"/>
      <c r="K42" s="43"/>
    </row>
    <row r="43" spans="1:11" s="29" customFormat="1" x14ac:dyDescent="0.2">
      <c r="A43">
        <v>42</v>
      </c>
      <c r="B43">
        <v>52</v>
      </c>
      <c r="C43">
        <v>3.277197022888366</v>
      </c>
      <c r="D43">
        <v>16.139163986682799</v>
      </c>
      <c r="E43">
        <v>0.28669957005553809</v>
      </c>
      <c r="F43">
        <v>5.8216830699822447E-2</v>
      </c>
      <c r="G43" t="s">
        <v>91</v>
      </c>
      <c r="H43">
        <v>1</v>
      </c>
      <c r="J43" s="43"/>
      <c r="K43" s="43"/>
    </row>
    <row r="44" spans="1:11" s="29" customFormat="1" x14ac:dyDescent="0.2">
      <c r="A44">
        <v>43</v>
      </c>
      <c r="B44">
        <v>53</v>
      </c>
      <c r="C44">
        <v>2.5682280016314469</v>
      </c>
      <c r="D44">
        <v>12.64771467325127</v>
      </c>
      <c r="E44">
        <v>0.36633831834025993</v>
      </c>
      <c r="F44">
        <v>7.4388168261086671E-2</v>
      </c>
      <c r="G44" t="s">
        <v>91</v>
      </c>
      <c r="H44">
        <v>1</v>
      </c>
      <c r="J44" s="43"/>
      <c r="K44" s="43"/>
    </row>
    <row r="45" spans="1:11" s="29" customFormat="1" x14ac:dyDescent="0.2">
      <c r="A45">
        <v>44</v>
      </c>
      <c r="B45">
        <v>54</v>
      </c>
      <c r="C45">
        <v>0.54070349172833809</v>
      </c>
      <c r="D45">
        <v>2.6627945345454109</v>
      </c>
      <c r="E45">
        <v>1.799836051340197</v>
      </c>
      <c r="F45">
        <v>0.3654722979459355</v>
      </c>
      <c r="G45" t="s">
        <v>91</v>
      </c>
      <c r="H45">
        <v>1</v>
      </c>
      <c r="J45" s="43"/>
      <c r="K45" s="43"/>
    </row>
    <row r="46" spans="1:11" s="29" customFormat="1" x14ac:dyDescent="0.2">
      <c r="A46">
        <v>45</v>
      </c>
      <c r="B46">
        <v>55</v>
      </c>
      <c r="C46">
        <v>0.95574682875452854</v>
      </c>
      <c r="D46">
        <v>4.706752353090617</v>
      </c>
      <c r="E46">
        <v>1.003448421895788</v>
      </c>
      <c r="F46">
        <v>0.20375889256546389</v>
      </c>
      <c r="G46" t="s">
        <v>91</v>
      </c>
      <c r="H46">
        <v>1</v>
      </c>
      <c r="J46" s="43"/>
      <c r="K46" s="43"/>
    </row>
    <row r="47" spans="1:11" s="29" customFormat="1" x14ac:dyDescent="0.2">
      <c r="A47">
        <v>46</v>
      </c>
      <c r="B47">
        <v>56</v>
      </c>
      <c r="C47">
        <v>0.72038061551762855</v>
      </c>
      <c r="D47">
        <v>3.547647823877123</v>
      </c>
      <c r="E47">
        <v>1.3379312291943839</v>
      </c>
      <c r="F47">
        <v>0.27167852342061849</v>
      </c>
      <c r="G47" t="s">
        <v>91</v>
      </c>
      <c r="H47">
        <v>1</v>
      </c>
      <c r="J47" s="43"/>
      <c r="K47" s="43"/>
    </row>
    <row r="48" spans="1:11" s="29" customFormat="1" x14ac:dyDescent="0.2">
      <c r="A48">
        <v>47</v>
      </c>
      <c r="B48">
        <v>57</v>
      </c>
      <c r="C48">
        <v>5.079106676625786</v>
      </c>
      <c r="D48">
        <v>25.013001960947811</v>
      </c>
      <c r="E48">
        <v>0.19113300761110771</v>
      </c>
      <c r="F48">
        <v>3.8811212528460468E-2</v>
      </c>
      <c r="G48" t="s">
        <v>91</v>
      </c>
      <c r="H48">
        <v>1</v>
      </c>
      <c r="J48" s="43"/>
      <c r="K48" s="43"/>
    </row>
    <row r="49" spans="1:13" s="29" customFormat="1" x14ac:dyDescent="0.2">
      <c r="A49">
        <v>48</v>
      </c>
      <c r="B49">
        <v>58</v>
      </c>
      <c r="C49">
        <v>4.9791526622477242</v>
      </c>
      <c r="D49">
        <v>24.520759896186931</v>
      </c>
      <c r="E49">
        <v>0.19113300761110771</v>
      </c>
      <c r="F49">
        <v>3.8811212528460468E-2</v>
      </c>
      <c r="G49" t="s">
        <v>91</v>
      </c>
      <c r="H49">
        <v>1</v>
      </c>
      <c r="J49" s="43"/>
      <c r="K49" s="43"/>
    </row>
    <row r="50" spans="1:13" s="29" customFormat="1" x14ac:dyDescent="0.2">
      <c r="A50">
        <v>49</v>
      </c>
      <c r="B50">
        <v>59</v>
      </c>
      <c r="C50">
        <v>0.2363015341824104</v>
      </c>
      <c r="D50">
        <v>1.163710690519739</v>
      </c>
      <c r="E50">
        <v>4.4119875169650742</v>
      </c>
      <c r="F50">
        <v>0.89589227592887422</v>
      </c>
      <c r="G50" t="s">
        <v>91</v>
      </c>
      <c r="H50">
        <v>1</v>
      </c>
      <c r="J50" s="43"/>
      <c r="K50" s="43"/>
    </row>
    <row r="51" spans="1:13" s="29" customFormat="1" x14ac:dyDescent="0.2">
      <c r="A51">
        <v>50</v>
      </c>
      <c r="B51">
        <v>60</v>
      </c>
      <c r="C51">
        <v>0.83303120789671226</v>
      </c>
      <c r="D51">
        <v>4.1024165396135404</v>
      </c>
      <c r="E51">
        <v>1.2423647253888299</v>
      </c>
      <c r="F51">
        <v>0.25227291715638828</v>
      </c>
      <c r="G51" t="s">
        <v>91</v>
      </c>
      <c r="H51">
        <v>1</v>
      </c>
      <c r="J51" s="43"/>
      <c r="K51" s="43"/>
    </row>
    <row r="52" spans="1:13" s="29" customFormat="1" x14ac:dyDescent="0.2">
      <c r="A52">
        <v>51</v>
      </c>
      <c r="B52">
        <v>62</v>
      </c>
      <c r="C52">
        <v>0.83810547665594215</v>
      </c>
      <c r="D52">
        <v>4.1274057163538318</v>
      </c>
      <c r="E52">
        <v>1.226436969867998</v>
      </c>
      <c r="F52">
        <v>0.2490386484534223</v>
      </c>
      <c r="G52" t="s">
        <v>91</v>
      </c>
      <c r="H52">
        <v>1</v>
      </c>
      <c r="J52" s="43"/>
      <c r="K52" s="43"/>
    </row>
    <row r="53" spans="1:13" s="29" customFormat="1" x14ac:dyDescent="0.2">
      <c r="A53">
        <v>52</v>
      </c>
      <c r="B53">
        <v>66</v>
      </c>
      <c r="C53">
        <v>1.7326097464280379</v>
      </c>
      <c r="D53">
        <v>8.5325577398095707</v>
      </c>
      <c r="E53">
        <v>0.62118234803469574</v>
      </c>
      <c r="F53">
        <v>0.12613645560141121</v>
      </c>
      <c r="G53" t="s">
        <v>91</v>
      </c>
      <c r="H53">
        <v>1</v>
      </c>
      <c r="J53" s="43"/>
      <c r="K53" s="43"/>
    </row>
    <row r="54" spans="1:13" s="29" customFormat="1" x14ac:dyDescent="0.2">
      <c r="A54">
        <v>53</v>
      </c>
      <c r="B54">
        <v>67</v>
      </c>
      <c r="C54">
        <v>2.3203244537204211</v>
      </c>
      <c r="D54">
        <v>11.426867716332501</v>
      </c>
      <c r="E54">
        <v>0.44597706662498182</v>
      </c>
      <c r="F54">
        <v>9.0559505822350894E-2</v>
      </c>
      <c r="G54" t="s">
        <v>91</v>
      </c>
      <c r="H54">
        <v>1</v>
      </c>
      <c r="J54" s="43"/>
      <c r="K54" s="43"/>
    </row>
    <row r="55" spans="1:13" s="29" customFormat="1" x14ac:dyDescent="0.2">
      <c r="A55">
        <v>54</v>
      </c>
      <c r="B55">
        <v>70</v>
      </c>
      <c r="C55">
        <v>0.5964110377739732</v>
      </c>
      <c r="D55">
        <v>2.9371366673640802</v>
      </c>
      <c r="E55">
        <v>1.6859120901643621</v>
      </c>
      <c r="F55">
        <v>0.34233905097545009</v>
      </c>
      <c r="G55" t="s">
        <v>91</v>
      </c>
      <c r="H55">
        <v>1</v>
      </c>
      <c r="J55" s="43"/>
      <c r="K55" s="43"/>
    </row>
    <row r="56" spans="1:13" s="29" customFormat="1" x14ac:dyDescent="0.2">
      <c r="A56">
        <v>55</v>
      </c>
      <c r="B56">
        <v>74</v>
      </c>
      <c r="C56">
        <v>0.5280771968355793</v>
      </c>
      <c r="D56">
        <v>2.6006140057596112</v>
      </c>
      <c r="E56">
        <v>1.7370004197253019</v>
      </c>
      <c r="F56">
        <v>0.35271297875012309</v>
      </c>
      <c r="G56" t="s">
        <v>91</v>
      </c>
      <c r="H56">
        <v>1</v>
      </c>
      <c r="J56" s="43"/>
      <c r="K56" s="43"/>
    </row>
    <row r="57" spans="1:13" s="29" customFormat="1" x14ac:dyDescent="0.2">
      <c r="A57">
        <v>56</v>
      </c>
      <c r="B57">
        <v>75</v>
      </c>
      <c r="C57">
        <v>0.80393044411074333</v>
      </c>
      <c r="D57">
        <v>3.9591044361301999</v>
      </c>
      <c r="E57">
        <v>1.2005738242588671</v>
      </c>
      <c r="F57">
        <v>0.24378691274625011</v>
      </c>
      <c r="G57" t="s">
        <v>91</v>
      </c>
      <c r="H57">
        <v>1</v>
      </c>
      <c r="J57" s="43"/>
      <c r="K57" s="43"/>
    </row>
    <row r="58" spans="1:13" s="29" customFormat="1" x14ac:dyDescent="0.2">
      <c r="A58">
        <v>57</v>
      </c>
      <c r="B58">
        <v>76</v>
      </c>
      <c r="C58">
        <v>0.97823290375434779</v>
      </c>
      <c r="D58">
        <v>4.8174891959793236</v>
      </c>
      <c r="E58">
        <v>1.083087228819386</v>
      </c>
      <c r="F58">
        <v>0.21993024203385991</v>
      </c>
      <c r="G58" t="s">
        <v>91</v>
      </c>
      <c r="H58">
        <v>1</v>
      </c>
      <c r="J58" s="43"/>
      <c r="K58" s="43"/>
    </row>
    <row r="59" spans="1:13" x14ac:dyDescent="0.2">
      <c r="A59">
        <v>58</v>
      </c>
      <c r="B59">
        <v>77</v>
      </c>
      <c r="C59">
        <v>1.11716539883485</v>
      </c>
      <c r="D59">
        <v>5.5016880114679987</v>
      </c>
      <c r="E59">
        <v>0.9715929108541238</v>
      </c>
      <c r="F59">
        <v>0.19729035515953189</v>
      </c>
      <c r="G59" t="s">
        <v>91</v>
      </c>
      <c r="H59">
        <v>1</v>
      </c>
      <c r="J59" s="43"/>
      <c r="K59" s="43"/>
      <c r="L59" s="29"/>
      <c r="M59" s="29"/>
    </row>
    <row r="60" spans="1:13" x14ac:dyDescent="0.2">
      <c r="A60">
        <v>59</v>
      </c>
      <c r="B60">
        <v>78</v>
      </c>
      <c r="C60">
        <v>0.94604075247409425</v>
      </c>
      <c r="D60">
        <v>4.658952981962444</v>
      </c>
      <c r="E60">
        <v>1.130870466062444</v>
      </c>
      <c r="F60">
        <v>0.22963304218919209</v>
      </c>
      <c r="G60" t="s">
        <v>91</v>
      </c>
      <c r="H60">
        <v>1</v>
      </c>
      <c r="J60" s="43"/>
      <c r="K60" s="43"/>
      <c r="L60" s="29"/>
      <c r="M60" s="29"/>
    </row>
    <row r="61" spans="1:13" x14ac:dyDescent="0.2">
      <c r="A61">
        <v>60</v>
      </c>
      <c r="B61">
        <v>79</v>
      </c>
      <c r="C61">
        <v>1.7196489468814899</v>
      </c>
      <c r="D61">
        <v>8.4687298808742248</v>
      </c>
      <c r="E61">
        <v>0.62118234803469574</v>
      </c>
      <c r="F61">
        <v>0.12613645560141121</v>
      </c>
      <c r="G61" t="s">
        <v>91</v>
      </c>
      <c r="H61">
        <v>1</v>
      </c>
      <c r="J61" s="43"/>
      <c r="K61" s="43"/>
      <c r="L61" s="29"/>
      <c r="M61" s="29"/>
    </row>
    <row r="62" spans="1:13" x14ac:dyDescent="0.2">
      <c r="A62">
        <v>61</v>
      </c>
      <c r="B62">
        <v>80</v>
      </c>
      <c r="C62">
        <v>0.53110157960671589</v>
      </c>
      <c r="D62">
        <v>2.6155081391183832</v>
      </c>
      <c r="E62">
        <v>2.0706078951943412</v>
      </c>
      <c r="F62">
        <v>0.42045486589635772</v>
      </c>
      <c r="G62" t="s">
        <v>91</v>
      </c>
      <c r="H62">
        <v>1</v>
      </c>
      <c r="J62" s="43"/>
      <c r="K62" s="43"/>
      <c r="L62" s="29"/>
      <c r="M62" s="29"/>
    </row>
    <row r="63" spans="1:13" x14ac:dyDescent="0.2">
      <c r="A63">
        <v>62</v>
      </c>
      <c r="B63">
        <v>82</v>
      </c>
      <c r="C63">
        <v>0.41996490659008212</v>
      </c>
      <c r="D63">
        <v>2.0681949998036901</v>
      </c>
      <c r="E63">
        <v>2.1290895902261169</v>
      </c>
      <c r="F63">
        <v>0.43233008056111638</v>
      </c>
      <c r="G63" t="s">
        <v>91</v>
      </c>
      <c r="H63">
        <v>1</v>
      </c>
      <c r="J63" s="43"/>
      <c r="K63" s="43"/>
      <c r="L63" s="29"/>
      <c r="M63" s="29"/>
    </row>
    <row r="64" spans="1:13" x14ac:dyDescent="0.2">
      <c r="A64">
        <v>63</v>
      </c>
      <c r="B64">
        <v>83</v>
      </c>
      <c r="C64">
        <v>1.1260006725071201</v>
      </c>
      <c r="D64">
        <v>5.5451989537970929</v>
      </c>
      <c r="E64">
        <v>0.78855174569176212</v>
      </c>
      <c r="F64">
        <v>0.1601222613207752</v>
      </c>
      <c r="G64" t="s">
        <v>91</v>
      </c>
      <c r="H64">
        <v>1</v>
      </c>
      <c r="J64" s="43"/>
      <c r="K64" s="43"/>
      <c r="L64" s="29"/>
      <c r="M64" s="29"/>
    </row>
    <row r="65" spans="1:13" x14ac:dyDescent="0.2">
      <c r="A65">
        <v>64</v>
      </c>
      <c r="B65">
        <v>84</v>
      </c>
      <c r="C65">
        <v>2.0979886795354412</v>
      </c>
      <c r="D65">
        <v>10.331933998702389</v>
      </c>
      <c r="E65">
        <v>0.43370336337632293</v>
      </c>
      <c r="F65">
        <v>8.8067224079659001E-2</v>
      </c>
      <c r="G65" t="s">
        <v>91</v>
      </c>
      <c r="H65">
        <v>1</v>
      </c>
      <c r="J65" s="43"/>
      <c r="K65" s="43"/>
      <c r="L65" s="29"/>
      <c r="M65" s="29"/>
    </row>
    <row r="66" spans="1:13" x14ac:dyDescent="0.2">
      <c r="A66">
        <v>65</v>
      </c>
      <c r="B66">
        <v>85</v>
      </c>
      <c r="C66">
        <v>1.0128637089758949</v>
      </c>
      <c r="D66">
        <v>4.9880350131999256</v>
      </c>
      <c r="E66">
        <v>0.94626205964678856</v>
      </c>
      <c r="F66">
        <v>0.19214670644065121</v>
      </c>
      <c r="G66" t="s">
        <v>91</v>
      </c>
      <c r="H66">
        <v>1</v>
      </c>
      <c r="J66" s="43"/>
      <c r="K66" s="43"/>
      <c r="L66" s="29"/>
      <c r="M66" s="29"/>
    </row>
    <row r="67" spans="1:13" x14ac:dyDescent="0.2">
      <c r="A67">
        <v>66</v>
      </c>
      <c r="B67">
        <v>86</v>
      </c>
      <c r="C67">
        <v>1.0245524236767249</v>
      </c>
      <c r="D67">
        <v>5.0455982546018658</v>
      </c>
      <c r="E67">
        <v>0.82797932418051867</v>
      </c>
      <c r="F67">
        <v>0.1681283726007442</v>
      </c>
      <c r="G67" t="s">
        <v>91</v>
      </c>
      <c r="H67">
        <v>1</v>
      </c>
      <c r="J67" s="43"/>
      <c r="K67" s="43"/>
      <c r="L67" s="29"/>
      <c r="M67" s="29"/>
    </row>
    <row r="68" spans="1:13" x14ac:dyDescent="0.2">
      <c r="A68">
        <v>67</v>
      </c>
      <c r="B68">
        <v>88</v>
      </c>
      <c r="C68">
        <v>0.51684484737334624</v>
      </c>
      <c r="D68">
        <v>2.5452982195372318</v>
      </c>
      <c r="E68">
        <v>1.8925241192935769</v>
      </c>
      <c r="F68">
        <v>0.38429341288130242</v>
      </c>
      <c r="G68" t="s">
        <v>91</v>
      </c>
      <c r="H68">
        <v>1</v>
      </c>
      <c r="J68" s="43"/>
      <c r="K68" s="43"/>
      <c r="L68" s="29"/>
      <c r="M68" s="29"/>
    </row>
    <row r="69" spans="1:13" x14ac:dyDescent="0.2">
      <c r="A69">
        <v>68</v>
      </c>
      <c r="B69">
        <v>90</v>
      </c>
      <c r="C69">
        <v>0.35658002603773598</v>
      </c>
      <c r="D69">
        <v>1.7560444106367901</v>
      </c>
      <c r="E69">
        <v>3.0753516498729061</v>
      </c>
      <c r="F69">
        <v>0.62447678700176756</v>
      </c>
      <c r="G69" t="s">
        <v>91</v>
      </c>
      <c r="H69">
        <v>1</v>
      </c>
      <c r="J69" s="43"/>
      <c r="K69" s="43"/>
      <c r="L69" s="29"/>
      <c r="M69" s="29"/>
    </row>
    <row r="70" spans="1:13" x14ac:dyDescent="0.2">
      <c r="A70">
        <v>69</v>
      </c>
      <c r="B70">
        <v>92</v>
      </c>
      <c r="C70">
        <v>0.43155455825623501</v>
      </c>
      <c r="D70">
        <v>2.125270386935501</v>
      </c>
      <c r="E70">
        <v>2.5627929536024401</v>
      </c>
      <c r="F70">
        <v>0.52039730464077527</v>
      </c>
      <c r="G70" t="s">
        <v>91</v>
      </c>
      <c r="H70">
        <v>1</v>
      </c>
      <c r="J70" s="43"/>
      <c r="K70" s="43"/>
      <c r="L70" s="29"/>
      <c r="M70" s="29"/>
    </row>
    <row r="71" spans="1:13" x14ac:dyDescent="0.2">
      <c r="A71">
        <v>70</v>
      </c>
      <c r="B71">
        <v>93</v>
      </c>
      <c r="C71">
        <v>2.116464917871868</v>
      </c>
      <c r="D71">
        <v>10.422923657940469</v>
      </c>
      <c r="E71">
        <v>0.47313094186507948</v>
      </c>
      <c r="F71">
        <v>9.6073335359628004E-2</v>
      </c>
      <c r="G71" t="s">
        <v>91</v>
      </c>
      <c r="H71">
        <v>1</v>
      </c>
      <c r="J71" s="43"/>
      <c r="K71" s="43"/>
      <c r="L71" s="29"/>
      <c r="M71" s="29"/>
    </row>
    <row r="72" spans="1:13" x14ac:dyDescent="0.2">
      <c r="A72">
        <v>71</v>
      </c>
      <c r="B72">
        <v>94</v>
      </c>
      <c r="C72">
        <v>0.80716045786610258</v>
      </c>
      <c r="D72">
        <v>3.9750112373731241</v>
      </c>
      <c r="E72">
        <v>1.1828275305793281</v>
      </c>
      <c r="F72">
        <v>0.24018337412046509</v>
      </c>
      <c r="G72" t="s">
        <v>91</v>
      </c>
      <c r="H72">
        <v>1</v>
      </c>
      <c r="J72" s="43"/>
      <c r="K72" s="43"/>
      <c r="L72" s="29"/>
      <c r="M72" s="29"/>
    </row>
    <row r="73" spans="1:13" x14ac:dyDescent="0.2">
      <c r="A73">
        <v>72</v>
      </c>
      <c r="B73">
        <v>95</v>
      </c>
      <c r="C73">
        <v>0.54123105610756572</v>
      </c>
      <c r="D73">
        <v>2.6653926230858378</v>
      </c>
      <c r="E73">
        <v>1.6559586483610369</v>
      </c>
      <c r="F73">
        <v>0.33625674520148829</v>
      </c>
      <c r="G73" t="s">
        <v>91</v>
      </c>
      <c r="H73">
        <v>1</v>
      </c>
      <c r="J73" s="43"/>
      <c r="K73" s="43"/>
      <c r="L73" s="29"/>
      <c r="M73" s="29"/>
    </row>
    <row r="74" spans="1:13" x14ac:dyDescent="0.2">
      <c r="A74">
        <v>73</v>
      </c>
      <c r="B74">
        <v>96</v>
      </c>
      <c r="C74">
        <v>0.61405398974301739</v>
      </c>
      <c r="D74">
        <v>3.0240226534823682</v>
      </c>
      <c r="E74">
        <v>1.498248158489381</v>
      </c>
      <c r="F74">
        <v>0.30423226436021711</v>
      </c>
      <c r="G74" t="s">
        <v>91</v>
      </c>
      <c r="H74">
        <v>1</v>
      </c>
      <c r="J74" s="43"/>
      <c r="K74" s="43"/>
      <c r="L74" s="29"/>
      <c r="M74" s="29"/>
    </row>
    <row r="75" spans="1:13" x14ac:dyDescent="0.2">
      <c r="A75">
        <v>74</v>
      </c>
      <c r="B75">
        <v>97</v>
      </c>
      <c r="C75">
        <v>4.1625268427673943</v>
      </c>
      <c r="D75">
        <v>20.49913473166254</v>
      </c>
      <c r="E75">
        <v>0.23891633281248029</v>
      </c>
      <c r="F75">
        <v>4.8514030544490272E-2</v>
      </c>
      <c r="G75" t="s">
        <v>91</v>
      </c>
      <c r="H75">
        <v>1</v>
      </c>
      <c r="J75" s="43"/>
      <c r="K75" s="43"/>
      <c r="L75" s="29"/>
      <c r="M75" s="29"/>
    </row>
    <row r="76" spans="1:13" x14ac:dyDescent="0.2">
      <c r="A76">
        <v>75</v>
      </c>
      <c r="B76">
        <v>98</v>
      </c>
      <c r="C76">
        <v>1.951384574180395</v>
      </c>
      <c r="D76">
        <v>9.6099549169074709</v>
      </c>
      <c r="E76">
        <v>0.54154357043053569</v>
      </c>
      <c r="F76">
        <v>0.10996511208658109</v>
      </c>
      <c r="G76" t="s">
        <v>91</v>
      </c>
      <c r="H76">
        <v>1</v>
      </c>
      <c r="J76" s="43"/>
      <c r="K76" s="43"/>
      <c r="L76" s="29"/>
      <c r="M76" s="29"/>
    </row>
    <row r="77" spans="1:13" x14ac:dyDescent="0.2">
      <c r="A77">
        <v>76</v>
      </c>
      <c r="B77">
        <v>100</v>
      </c>
      <c r="C77">
        <v>0.72512795392919205</v>
      </c>
      <c r="D77">
        <v>3.5710269715418468</v>
      </c>
      <c r="E77">
        <v>1.4588205800006251</v>
      </c>
      <c r="F77">
        <v>0.29622615308024819</v>
      </c>
      <c r="G77" t="s">
        <v>91</v>
      </c>
      <c r="H77">
        <v>1</v>
      </c>
      <c r="J77" s="43"/>
      <c r="K77" s="43"/>
      <c r="L77" s="29"/>
      <c r="M77" s="29"/>
    </row>
    <row r="78" spans="1:13" x14ac:dyDescent="0.2">
      <c r="A78">
        <v>77</v>
      </c>
      <c r="B78">
        <v>101</v>
      </c>
      <c r="C78">
        <v>1.1790987918805971</v>
      </c>
      <c r="D78">
        <v>5.8066904814556048</v>
      </c>
      <c r="E78">
        <v>0.86740690266927534</v>
      </c>
      <c r="F78">
        <v>0.17613448388071309</v>
      </c>
      <c r="G78" t="s">
        <v>91</v>
      </c>
      <c r="H78">
        <v>1</v>
      </c>
      <c r="J78" s="43"/>
      <c r="K78" s="43"/>
      <c r="L78" s="29"/>
      <c r="M78" s="29"/>
    </row>
    <row r="79" spans="1:13" x14ac:dyDescent="0.2">
      <c r="A79">
        <v>78</v>
      </c>
      <c r="B79">
        <v>102</v>
      </c>
      <c r="C79">
        <v>5.4373805681677414</v>
      </c>
      <c r="D79">
        <v>26.777388126124539</v>
      </c>
      <c r="E79">
        <v>0.1971378924437831</v>
      </c>
      <c r="F79">
        <v>4.0030556399844999E-2</v>
      </c>
      <c r="G79" t="s">
        <v>91</v>
      </c>
      <c r="H79">
        <v>1</v>
      </c>
      <c r="J79" s="43"/>
      <c r="K79" s="43"/>
      <c r="L79" s="29"/>
      <c r="M79" s="29"/>
    </row>
    <row r="80" spans="1:13" x14ac:dyDescent="0.2">
      <c r="A80">
        <v>79</v>
      </c>
      <c r="B80">
        <v>103</v>
      </c>
      <c r="C80">
        <v>1.102937818501974</v>
      </c>
      <c r="D80">
        <v>5.4316216558225241</v>
      </c>
      <c r="E80">
        <v>0.906834481158032</v>
      </c>
      <c r="F80">
        <v>0.18414059516068221</v>
      </c>
      <c r="G80" t="s">
        <v>91</v>
      </c>
      <c r="H80">
        <v>1</v>
      </c>
      <c r="J80" s="43"/>
      <c r="K80" s="43"/>
      <c r="L80" s="29"/>
      <c r="M80" s="29"/>
    </row>
    <row r="81" spans="1:13" x14ac:dyDescent="0.2">
      <c r="A81">
        <v>80</v>
      </c>
      <c r="B81">
        <v>104</v>
      </c>
      <c r="C81">
        <v>0.64156401110178651</v>
      </c>
      <c r="D81">
        <v>3.1595008511267109</v>
      </c>
      <c r="E81">
        <v>1.498248158489381</v>
      </c>
      <c r="F81">
        <v>0.30423226436021711</v>
      </c>
      <c r="G81" t="s">
        <v>91</v>
      </c>
      <c r="H81">
        <v>1</v>
      </c>
      <c r="J81" s="43"/>
      <c r="K81" s="43"/>
      <c r="L81" s="29"/>
      <c r="M81" s="29"/>
    </row>
    <row r="82" spans="1:13" x14ac:dyDescent="0.2">
      <c r="A82">
        <v>81</v>
      </c>
      <c r="B82">
        <v>105</v>
      </c>
      <c r="C82">
        <v>0.80637898773513694</v>
      </c>
      <c r="D82">
        <v>3.9711627429108551</v>
      </c>
      <c r="E82">
        <v>1.2222551090680851</v>
      </c>
      <c r="F82">
        <v>0.24818948540043409</v>
      </c>
      <c r="G82" t="s">
        <v>91</v>
      </c>
      <c r="H82">
        <v>1</v>
      </c>
      <c r="J82" s="43"/>
      <c r="K82" s="43"/>
      <c r="L82" s="29"/>
      <c r="M82" s="29"/>
    </row>
    <row r="83" spans="1:13" x14ac:dyDescent="0.2">
      <c r="A83">
        <v>82</v>
      </c>
      <c r="B83">
        <v>106</v>
      </c>
      <c r="C83">
        <v>0.5637650872430483</v>
      </c>
      <c r="D83">
        <v>2.7763656348506411</v>
      </c>
      <c r="E83">
        <v>1.6953862268497939</v>
      </c>
      <c r="F83">
        <v>0.34426285648145738</v>
      </c>
      <c r="G83" t="s">
        <v>91</v>
      </c>
      <c r="H83">
        <v>1</v>
      </c>
      <c r="J83" s="43"/>
      <c r="K83" s="43"/>
      <c r="L83" s="29"/>
      <c r="M83" s="29"/>
    </row>
    <row r="84" spans="1:13" x14ac:dyDescent="0.2">
      <c r="A84">
        <v>83</v>
      </c>
      <c r="B84">
        <v>107</v>
      </c>
      <c r="C84">
        <v>1.008500106168041</v>
      </c>
      <c r="D84">
        <v>4.9665456426198684</v>
      </c>
      <c r="E84">
        <v>1.0892877329441999</v>
      </c>
      <c r="F84">
        <v>0.2211893080967002</v>
      </c>
      <c r="G84" t="s">
        <v>91</v>
      </c>
      <c r="H84">
        <v>1</v>
      </c>
      <c r="J84" s="43"/>
      <c r="K84" s="43"/>
      <c r="L84" s="29"/>
      <c r="M84" s="29"/>
    </row>
    <row r="85" spans="1:13" x14ac:dyDescent="0.2">
      <c r="A85">
        <v>84</v>
      </c>
      <c r="B85">
        <v>108</v>
      </c>
      <c r="C85">
        <v>12.39190115600938</v>
      </c>
      <c r="D85">
        <v>61.026213397244412</v>
      </c>
      <c r="E85">
        <v>7.8855156977513247E-2</v>
      </c>
      <c r="F85">
        <v>1.6012222559937998E-2</v>
      </c>
      <c r="G85" t="s">
        <v>91</v>
      </c>
      <c r="H85">
        <v>1</v>
      </c>
      <c r="J85" s="43"/>
      <c r="K85" s="43"/>
      <c r="L85" s="29"/>
      <c r="M85" s="29"/>
    </row>
    <row r="86" spans="1:13" x14ac:dyDescent="0.2">
      <c r="A86">
        <v>85</v>
      </c>
      <c r="B86">
        <v>109</v>
      </c>
      <c r="C86">
        <v>3.0929396331354999</v>
      </c>
      <c r="D86">
        <v>15.23175432891413</v>
      </c>
      <c r="E86">
        <v>0.31542062791005299</v>
      </c>
      <c r="F86">
        <v>6.4048890239751993E-2</v>
      </c>
      <c r="G86" t="s">
        <v>91</v>
      </c>
      <c r="H86">
        <v>1</v>
      </c>
      <c r="J86" s="43"/>
      <c r="K86" s="43"/>
      <c r="L86" s="29"/>
      <c r="M86" s="29"/>
    </row>
    <row r="87" spans="1:13" x14ac:dyDescent="0.2">
      <c r="A87">
        <v>86</v>
      </c>
      <c r="B87">
        <v>110</v>
      </c>
      <c r="C87">
        <v>0.64873383462544132</v>
      </c>
      <c r="D87">
        <v>3.194809975599751</v>
      </c>
      <c r="E87">
        <v>1.537675736978138</v>
      </c>
      <c r="F87">
        <v>0.31223837564018608</v>
      </c>
      <c r="G87" t="s">
        <v>91</v>
      </c>
      <c r="H87">
        <v>1</v>
      </c>
      <c r="J87" s="43"/>
      <c r="K87" s="43"/>
      <c r="L87" s="29"/>
      <c r="M87" s="29"/>
    </row>
    <row r="88" spans="1:13" x14ac:dyDescent="0.2">
      <c r="A88">
        <v>87</v>
      </c>
      <c r="B88">
        <v>112</v>
      </c>
      <c r="C88">
        <v>1.0479209322462519</v>
      </c>
      <c r="D88">
        <v>5.1606808051149278</v>
      </c>
      <c r="E88">
        <v>0.98568963813554522</v>
      </c>
      <c r="F88">
        <v>0.20015281772062021</v>
      </c>
      <c r="G88" t="s">
        <v>91</v>
      </c>
      <c r="H88">
        <v>1</v>
      </c>
      <c r="J88" s="43"/>
      <c r="K88" s="43"/>
      <c r="L88" s="29"/>
      <c r="M88" s="29"/>
    </row>
    <row r="89" spans="1:13" x14ac:dyDescent="0.2">
      <c r="A89">
        <v>88</v>
      </c>
      <c r="B89">
        <v>114</v>
      </c>
      <c r="C89">
        <v>4.6463285249154822</v>
      </c>
      <c r="D89">
        <v>22.88170576132228</v>
      </c>
      <c r="E89">
        <v>0.2168696398441019</v>
      </c>
      <c r="F89">
        <v>4.4037258598922227E-2</v>
      </c>
      <c r="G89" t="s">
        <v>91</v>
      </c>
      <c r="H89">
        <v>1</v>
      </c>
      <c r="J89" s="43"/>
      <c r="K89" s="43"/>
      <c r="L89" s="29"/>
      <c r="M89" s="29"/>
    </row>
    <row r="90" spans="1:13" x14ac:dyDescent="0.2">
      <c r="A90">
        <v>89</v>
      </c>
      <c r="B90">
        <v>115</v>
      </c>
      <c r="C90">
        <v>1.6760499771776891</v>
      </c>
      <c r="D90">
        <v>8.2540186759067815</v>
      </c>
      <c r="E90">
        <v>0.59645524270021999</v>
      </c>
      <c r="F90">
        <v>0.12111540271083659</v>
      </c>
      <c r="G90" t="s">
        <v>91</v>
      </c>
      <c r="H90">
        <v>1</v>
      </c>
      <c r="J90" s="43"/>
      <c r="K90" s="43"/>
      <c r="L90" s="29"/>
      <c r="M90" s="29"/>
    </row>
    <row r="91" spans="1:13" x14ac:dyDescent="0.2">
      <c r="A91">
        <v>90</v>
      </c>
      <c r="B91">
        <v>117</v>
      </c>
      <c r="C91">
        <v>1.902926596540806</v>
      </c>
      <c r="D91">
        <v>9.371314627011488</v>
      </c>
      <c r="E91">
        <v>0.54230171246532566</v>
      </c>
      <c r="F91">
        <v>0.1101190593927359</v>
      </c>
      <c r="G91" t="s">
        <v>91</v>
      </c>
      <c r="H91">
        <v>1</v>
      </c>
      <c r="J91" s="43"/>
      <c r="K91" s="43"/>
      <c r="L91" s="29"/>
      <c r="M91" s="29"/>
    </row>
    <row r="92" spans="1:13" x14ac:dyDescent="0.2">
      <c r="A92">
        <v>91</v>
      </c>
      <c r="B92">
        <v>118</v>
      </c>
      <c r="C92">
        <v>1.8857638974394331</v>
      </c>
      <c r="D92">
        <v>9.2867937351283913</v>
      </c>
      <c r="E92">
        <v>0.52561584422914187</v>
      </c>
      <c r="F92">
        <v>0.10673084933718099</v>
      </c>
      <c r="G92" t="s">
        <v>91</v>
      </c>
      <c r="H92">
        <v>1</v>
      </c>
      <c r="K92" s="44"/>
    </row>
    <row r="93" spans="1:13" x14ac:dyDescent="0.2">
      <c r="K93" s="44"/>
    </row>
    <row r="94" spans="1:13" x14ac:dyDescent="0.2">
      <c r="K94" s="4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M29"/>
  <sheetViews>
    <sheetView zoomScale="115" zoomScaleNormal="115" workbookViewId="0">
      <selection activeCell="E29" sqref="A2:E29"/>
    </sheetView>
  </sheetViews>
  <sheetFormatPr defaultColWidth="8.7109375" defaultRowHeight="12.75" x14ac:dyDescent="0.2"/>
  <cols>
    <col min="1" max="6" width="8.7109375" style="1"/>
    <col min="7" max="7" width="11.7109375" style="1" bestFit="1" customWidth="1"/>
    <col min="8" max="8" width="11.7109375" style="1" customWidth="1"/>
    <col min="9" max="9" width="8.7109375" style="1"/>
    <col min="10" max="10" width="11.7109375" style="1" bestFit="1" customWidth="1"/>
    <col min="11" max="16384" width="8.7109375" style="1"/>
  </cols>
  <sheetData>
    <row r="1" spans="1:13" x14ac:dyDescent="0.2">
      <c r="A1" s="9" t="s">
        <v>23</v>
      </c>
      <c r="B1" s="9" t="s">
        <v>0</v>
      </c>
      <c r="C1" s="9" t="s">
        <v>69</v>
      </c>
      <c r="D1" s="9" t="s">
        <v>70</v>
      </c>
      <c r="E1" s="9" t="s">
        <v>58</v>
      </c>
      <c r="F1" s="6" t="s">
        <v>9</v>
      </c>
      <c r="G1" s="6" t="s">
        <v>13</v>
      </c>
      <c r="H1" s="6" t="s">
        <v>77</v>
      </c>
      <c r="I1" s="18" t="s">
        <v>25</v>
      </c>
      <c r="J1" s="16" t="s">
        <v>6</v>
      </c>
      <c r="K1" s="16" t="s">
        <v>71</v>
      </c>
      <c r="L1" s="16" t="s">
        <v>48</v>
      </c>
      <c r="M1" s="16" t="s">
        <v>3</v>
      </c>
    </row>
    <row r="2" spans="1:13" x14ac:dyDescent="0.2">
      <c r="A2" s="2"/>
      <c r="B2"/>
      <c r="C2"/>
      <c r="D2"/>
      <c r="E2"/>
      <c r="F2" s="2"/>
      <c r="G2" s="41"/>
      <c r="H2"/>
      <c r="I2" s="2"/>
      <c r="J2" s="41"/>
      <c r="K2" s="2"/>
      <c r="L2" s="2"/>
    </row>
    <row r="3" spans="1:13" x14ac:dyDescent="0.2">
      <c r="B3"/>
      <c r="C3"/>
      <c r="D3"/>
      <c r="E3"/>
      <c r="F3" s="2"/>
      <c r="G3" s="41"/>
      <c r="H3"/>
      <c r="J3" s="41"/>
    </row>
    <row r="4" spans="1:13" x14ac:dyDescent="0.2">
      <c r="B4"/>
      <c r="C4"/>
      <c r="D4"/>
      <c r="E4"/>
      <c r="F4" s="2"/>
      <c r="G4" s="41"/>
      <c r="H4"/>
      <c r="J4" s="41"/>
    </row>
    <row r="5" spans="1:13" x14ac:dyDescent="0.2">
      <c r="B5"/>
      <c r="C5"/>
      <c r="D5"/>
      <c r="E5"/>
      <c r="F5" s="2"/>
      <c r="G5" s="41"/>
      <c r="H5"/>
      <c r="I5" s="2"/>
      <c r="J5" s="41"/>
    </row>
    <row r="6" spans="1:13" x14ac:dyDescent="0.2">
      <c r="B6"/>
      <c r="C6"/>
      <c r="D6"/>
      <c r="E6"/>
      <c r="F6" s="2"/>
      <c r="G6" s="41"/>
      <c r="H6"/>
      <c r="I6" s="2"/>
      <c r="J6" s="41"/>
    </row>
    <row r="7" spans="1:13" x14ac:dyDescent="0.2">
      <c r="B7"/>
      <c r="C7"/>
      <c r="D7"/>
      <c r="E7"/>
      <c r="F7" s="2"/>
      <c r="G7" s="41"/>
      <c r="H7"/>
      <c r="I7" s="2"/>
      <c r="J7" s="41"/>
    </row>
    <row r="8" spans="1:13" x14ac:dyDescent="0.2">
      <c r="B8"/>
      <c r="C8"/>
      <c r="D8"/>
      <c r="E8"/>
      <c r="F8" s="2"/>
      <c r="G8" s="41"/>
      <c r="H8"/>
      <c r="I8" s="2"/>
      <c r="J8" s="41"/>
    </row>
    <row r="9" spans="1:13" x14ac:dyDescent="0.2">
      <c r="B9"/>
      <c r="C9"/>
      <c r="D9"/>
      <c r="E9"/>
      <c r="F9" s="2"/>
      <c r="G9" s="41"/>
      <c r="H9"/>
      <c r="I9" s="2"/>
      <c r="J9" s="41"/>
    </row>
    <row r="10" spans="1:13" x14ac:dyDescent="0.2">
      <c r="B10"/>
      <c r="C10"/>
      <c r="D10"/>
      <c r="E10"/>
      <c r="F10" s="2"/>
      <c r="G10" s="41"/>
      <c r="H10"/>
      <c r="I10" s="2"/>
      <c r="J10" s="41"/>
    </row>
    <row r="11" spans="1:13" x14ac:dyDescent="0.2">
      <c r="B11"/>
      <c r="C11"/>
      <c r="D11"/>
      <c r="E11"/>
      <c r="F11" s="2"/>
      <c r="G11" s="41"/>
      <c r="H11"/>
      <c r="I11" s="2"/>
      <c r="J11" s="41"/>
    </row>
    <row r="12" spans="1:13" x14ac:dyDescent="0.2">
      <c r="B12"/>
      <c r="C12"/>
      <c r="D12"/>
      <c r="E12"/>
      <c r="F12" s="2"/>
      <c r="G12" s="41"/>
      <c r="H12"/>
      <c r="I12" s="2"/>
      <c r="J12" s="41"/>
    </row>
    <row r="13" spans="1:13" x14ac:dyDescent="0.2">
      <c r="B13"/>
      <c r="C13"/>
      <c r="D13"/>
      <c r="E13"/>
      <c r="F13" s="2"/>
      <c r="G13" s="41"/>
      <c r="H13"/>
      <c r="I13" s="2"/>
      <c r="J13" s="41"/>
    </row>
    <row r="14" spans="1:13" x14ac:dyDescent="0.2">
      <c r="B14"/>
      <c r="C14"/>
      <c r="D14"/>
      <c r="E14"/>
      <c r="F14" s="2"/>
      <c r="G14" s="41"/>
      <c r="H14"/>
      <c r="I14" s="2"/>
      <c r="J14" s="41"/>
    </row>
    <row r="15" spans="1:13" x14ac:dyDescent="0.2">
      <c r="B15"/>
      <c r="C15"/>
      <c r="D15"/>
      <c r="E15"/>
      <c r="F15" s="2"/>
      <c r="G15" s="41"/>
      <c r="H15"/>
      <c r="I15" s="2"/>
      <c r="J15" s="41"/>
    </row>
    <row r="16" spans="1:13" x14ac:dyDescent="0.2">
      <c r="B16"/>
      <c r="C16"/>
      <c r="D16"/>
      <c r="E16"/>
      <c r="F16" s="2"/>
      <c r="G16" s="41"/>
      <c r="H16"/>
      <c r="I16" s="2"/>
      <c r="J16" s="41"/>
    </row>
    <row r="17" spans="2:10" x14ac:dyDescent="0.2">
      <c r="B17"/>
      <c r="C17"/>
      <c r="D17"/>
      <c r="E17"/>
      <c r="F17" s="2"/>
      <c r="G17" s="41"/>
      <c r="H17"/>
      <c r="J17" s="41"/>
    </row>
    <row r="18" spans="2:10" x14ac:dyDescent="0.2">
      <c r="B18"/>
      <c r="C18"/>
      <c r="D18"/>
      <c r="E18"/>
      <c r="F18" s="2"/>
      <c r="G18" s="41"/>
      <c r="H18"/>
      <c r="J18" s="41"/>
    </row>
    <row r="19" spans="2:10" x14ac:dyDescent="0.2">
      <c r="B19"/>
      <c r="C19"/>
      <c r="D19"/>
      <c r="E19"/>
      <c r="F19" s="2"/>
      <c r="G19" s="41"/>
      <c r="H19"/>
      <c r="J19" s="41"/>
    </row>
    <row r="20" spans="2:10" x14ac:dyDescent="0.2">
      <c r="B20"/>
      <c r="C20"/>
      <c r="D20"/>
      <c r="E20"/>
      <c r="F20" s="2"/>
      <c r="G20" s="41"/>
      <c r="H20"/>
      <c r="J20" s="41"/>
    </row>
    <row r="21" spans="2:10" x14ac:dyDescent="0.2">
      <c r="B21"/>
      <c r="C21"/>
      <c r="D21"/>
      <c r="E21"/>
      <c r="F21" s="2"/>
      <c r="G21" s="41"/>
      <c r="H21"/>
      <c r="J21" s="41"/>
    </row>
    <row r="22" spans="2:10" x14ac:dyDescent="0.2">
      <c r="B22"/>
      <c r="C22"/>
      <c r="D22"/>
      <c r="E22"/>
      <c r="F22" s="2"/>
      <c r="G22" s="41"/>
      <c r="H22"/>
      <c r="J22" s="41"/>
    </row>
    <row r="23" spans="2:10" x14ac:dyDescent="0.2">
      <c r="B23"/>
      <c r="C23"/>
      <c r="D23"/>
      <c r="E23"/>
      <c r="F23" s="2"/>
      <c r="G23" s="41"/>
      <c r="H23"/>
      <c r="J23" s="41"/>
    </row>
    <row r="24" spans="2:10" x14ac:dyDescent="0.2">
      <c r="B24"/>
      <c r="C24"/>
      <c r="D24"/>
      <c r="E24"/>
      <c r="F24" s="2"/>
      <c r="G24" s="41"/>
      <c r="H24"/>
      <c r="J24" s="41"/>
    </row>
    <row r="25" spans="2:10" x14ac:dyDescent="0.2">
      <c r="B25"/>
      <c r="C25"/>
      <c r="D25"/>
      <c r="E25"/>
      <c r="F25" s="2"/>
      <c r="G25" s="41"/>
      <c r="H25"/>
      <c r="J25" s="41"/>
    </row>
    <row r="26" spans="2:10" x14ac:dyDescent="0.2">
      <c r="B26"/>
      <c r="C26"/>
      <c r="D26"/>
      <c r="E26"/>
      <c r="F26" s="2"/>
      <c r="G26" s="41"/>
      <c r="H26"/>
      <c r="J26" s="41"/>
    </row>
    <row r="27" spans="2:10" x14ac:dyDescent="0.2">
      <c r="B27"/>
      <c r="C27"/>
      <c r="D27"/>
      <c r="E27"/>
      <c r="F27" s="2"/>
      <c r="G27" s="41"/>
      <c r="H27"/>
      <c r="J27" s="41"/>
    </row>
    <row r="28" spans="2:10" x14ac:dyDescent="0.2">
      <c r="B28"/>
      <c r="C28"/>
      <c r="D28"/>
      <c r="E28"/>
      <c r="F28" s="2"/>
      <c r="G28" s="41"/>
      <c r="H28"/>
      <c r="J28" s="41"/>
    </row>
    <row r="29" spans="2:10" x14ac:dyDescent="0.2">
      <c r="B29"/>
      <c r="C29"/>
      <c r="D29"/>
      <c r="E29"/>
      <c r="F29" s="2"/>
      <c r="G29" s="41"/>
      <c r="H29"/>
      <c r="J29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9"/>
  <sheetViews>
    <sheetView zoomScale="85" zoomScaleNormal="85" workbookViewId="0">
      <selection activeCell="D17" sqref="D17"/>
    </sheetView>
  </sheetViews>
  <sheetFormatPr defaultColWidth="8.7109375" defaultRowHeight="12.75" x14ac:dyDescent="0.2"/>
  <cols>
    <col min="1" max="6" width="8.7109375" style="5" customWidth="1"/>
    <col min="7" max="10" width="9.140625"/>
    <col min="11" max="11" width="8.7109375" style="5" customWidth="1"/>
    <col min="12" max="28" width="8.7109375" style="1" customWidth="1"/>
    <col min="29" max="29" width="16.7109375" style="1" bestFit="1" customWidth="1"/>
    <col min="30" max="63" width="8.7109375" style="1" customWidth="1"/>
    <col min="64" max="16384" width="8.7109375" style="1"/>
  </cols>
  <sheetData>
    <row r="1" spans="1:59" s="28" customFormat="1" ht="15" x14ac:dyDescent="0.2">
      <c r="A1" s="21" t="s">
        <v>23</v>
      </c>
      <c r="B1" s="21" t="s">
        <v>0</v>
      </c>
      <c r="C1" s="21" t="s">
        <v>69</v>
      </c>
      <c r="D1" s="21" t="s">
        <v>70</v>
      </c>
      <c r="E1" s="21" t="s">
        <v>58</v>
      </c>
      <c r="F1" s="21" t="s">
        <v>77</v>
      </c>
      <c r="G1" s="58" t="s">
        <v>25</v>
      </c>
      <c r="H1" s="58" t="s">
        <v>6</v>
      </c>
      <c r="I1" s="58" t="s">
        <v>71</v>
      </c>
      <c r="J1" s="58" t="s">
        <v>48</v>
      </c>
      <c r="K1" s="22" t="s">
        <v>3</v>
      </c>
      <c r="L1" s="23" t="s">
        <v>60</v>
      </c>
      <c r="M1" s="23" t="s">
        <v>26</v>
      </c>
      <c r="N1" s="23" t="s">
        <v>27</v>
      </c>
      <c r="O1" s="23" t="s">
        <v>28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34</v>
      </c>
      <c r="V1" s="23" t="s">
        <v>35</v>
      </c>
      <c r="W1" s="23" t="s">
        <v>36</v>
      </c>
      <c r="X1" s="23" t="s">
        <v>63</v>
      </c>
      <c r="Y1" s="23" t="s">
        <v>64</v>
      </c>
      <c r="Z1" s="23" t="s">
        <v>65</v>
      </c>
      <c r="AA1" s="24" t="s">
        <v>61</v>
      </c>
      <c r="AB1" s="24" t="s">
        <v>59</v>
      </c>
      <c r="AC1" s="25" t="s">
        <v>62</v>
      </c>
      <c r="AD1" s="39" t="s">
        <v>75</v>
      </c>
      <c r="AE1" s="39" t="s">
        <v>76</v>
      </c>
      <c r="AF1" s="27"/>
      <c r="AG1" s="27"/>
      <c r="AH1" s="27"/>
      <c r="AI1" s="27"/>
      <c r="AJ1" s="27"/>
      <c r="AK1" s="27"/>
      <c r="AL1" s="27"/>
      <c r="AM1" s="27"/>
      <c r="AN1" s="27"/>
      <c r="AO1" s="26"/>
      <c r="AP1" s="26"/>
      <c r="AQ1" s="26"/>
      <c r="AR1" s="26"/>
      <c r="AS1" s="27"/>
    </row>
    <row r="2" spans="1:59" s="31" customFormat="1" x14ac:dyDescent="0.2">
      <c r="A2">
        <v>1</v>
      </c>
      <c r="B2">
        <v>12</v>
      </c>
      <c r="C2">
        <v>138</v>
      </c>
      <c r="D2">
        <v>1790.5578947368419</v>
      </c>
      <c r="E2">
        <v>1</v>
      </c>
      <c r="F2">
        <v>1</v>
      </c>
      <c r="G2">
        <v>10.5242042752022</v>
      </c>
      <c r="H2">
        <v>2.834856975291137</v>
      </c>
      <c r="I2">
        <v>1.0494964989432669</v>
      </c>
      <c r="J2">
        <v>-18.743917599917271</v>
      </c>
      <c r="K2">
        <v>1</v>
      </c>
      <c r="L2" s="30">
        <v>2.5000000000000001E-3</v>
      </c>
      <c r="M2" s="30">
        <v>0.2</v>
      </c>
      <c r="N2" s="30">
        <v>1.8</v>
      </c>
      <c r="O2" s="30">
        <v>0.3</v>
      </c>
      <c r="P2" s="30">
        <v>0.25</v>
      </c>
      <c r="Q2" s="30">
        <v>1.7</v>
      </c>
      <c r="R2" s="30">
        <v>0.55000000000000004</v>
      </c>
      <c r="S2" s="30">
        <v>0.25</v>
      </c>
      <c r="T2" s="30">
        <v>8</v>
      </c>
      <c r="U2" s="30">
        <v>0.03</v>
      </c>
      <c r="V2" s="30">
        <v>0.4</v>
      </c>
      <c r="W2" s="30">
        <v>0.05</v>
      </c>
      <c r="X2" s="31">
        <v>2E-3</v>
      </c>
      <c r="Y2" s="31">
        <v>0.1</v>
      </c>
      <c r="Z2" s="31">
        <v>300</v>
      </c>
      <c r="AA2" s="31" t="s">
        <v>80</v>
      </c>
      <c r="AB2" s="31" t="s">
        <v>81</v>
      </c>
      <c r="AC2" s="31" t="s">
        <v>92</v>
      </c>
      <c r="AD2" s="29">
        <v>6.5</v>
      </c>
      <c r="AE2" s="29">
        <v>0</v>
      </c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spans="1:59" x14ac:dyDescent="0.2">
      <c r="A3">
        <v>2</v>
      </c>
      <c r="B3">
        <v>19</v>
      </c>
      <c r="C3">
        <v>138</v>
      </c>
      <c r="D3">
        <v>65.894736842105274</v>
      </c>
      <c r="E3">
        <v>1</v>
      </c>
      <c r="F3">
        <v>1</v>
      </c>
      <c r="G3">
        <v>0.14545550764449369</v>
      </c>
      <c r="H3">
        <v>1.7532708598852711E-2</v>
      </c>
      <c r="I3">
        <v>0.97980964030781992</v>
      </c>
      <c r="J3">
        <v>-22.96507866682111</v>
      </c>
      <c r="K3">
        <v>1</v>
      </c>
      <c r="L3" s="30">
        <v>2.5000000000000001E-3</v>
      </c>
      <c r="M3" s="30">
        <v>0.2</v>
      </c>
      <c r="N3" s="30">
        <v>1.8</v>
      </c>
      <c r="O3" s="30">
        <v>0.3</v>
      </c>
      <c r="P3" s="30">
        <v>0.25</v>
      </c>
      <c r="Q3" s="30">
        <v>1.7</v>
      </c>
      <c r="R3" s="30">
        <v>0.55000000000000004</v>
      </c>
      <c r="S3" s="30">
        <v>0.25</v>
      </c>
      <c r="T3" s="30">
        <v>8</v>
      </c>
      <c r="U3" s="30">
        <v>0.03</v>
      </c>
      <c r="V3" s="30">
        <v>0.4</v>
      </c>
      <c r="W3" s="30">
        <v>0.05</v>
      </c>
      <c r="X3" s="31">
        <v>2E-3</v>
      </c>
      <c r="Y3" s="31">
        <v>0.1</v>
      </c>
      <c r="Z3" s="31">
        <v>300</v>
      </c>
      <c r="AA3" s="31" t="s">
        <v>80</v>
      </c>
      <c r="AB3" s="31" t="s">
        <v>81</v>
      </c>
      <c r="AC3" s="31" t="s">
        <v>92</v>
      </c>
      <c r="AD3" s="29">
        <v>6.5</v>
      </c>
      <c r="AE3" s="29">
        <v>0</v>
      </c>
      <c r="AF3" s="29"/>
    </row>
    <row r="4" spans="1:59" x14ac:dyDescent="0.2">
      <c r="A4">
        <v>3</v>
      </c>
      <c r="B4">
        <v>32</v>
      </c>
      <c r="C4">
        <v>138</v>
      </c>
      <c r="D4">
        <v>0.8421052631578948</v>
      </c>
      <c r="E4">
        <v>1</v>
      </c>
      <c r="F4">
        <v>1</v>
      </c>
      <c r="G4">
        <v>1.081684052938914E-3</v>
      </c>
      <c r="H4">
        <v>2.361793819474233E-4</v>
      </c>
      <c r="I4">
        <v>1.0345652860467101</v>
      </c>
      <c r="J4">
        <v>-15.720282581273141</v>
      </c>
      <c r="K4">
        <v>1</v>
      </c>
      <c r="L4" s="30">
        <v>2.5000000000000001E-3</v>
      </c>
      <c r="M4" s="30">
        <v>0.2</v>
      </c>
      <c r="N4" s="30">
        <v>1.8</v>
      </c>
      <c r="O4" s="30">
        <v>0.3</v>
      </c>
      <c r="P4" s="30">
        <v>0.25</v>
      </c>
      <c r="Q4" s="30">
        <v>1.7</v>
      </c>
      <c r="R4" s="30">
        <v>0.55000000000000004</v>
      </c>
      <c r="S4" s="30">
        <v>0.25</v>
      </c>
      <c r="T4" s="30">
        <v>8</v>
      </c>
      <c r="U4" s="30">
        <v>0.03</v>
      </c>
      <c r="V4" s="30">
        <v>0.4</v>
      </c>
      <c r="W4" s="30">
        <v>0.05</v>
      </c>
      <c r="X4" s="31">
        <v>2E-3</v>
      </c>
      <c r="Y4" s="31">
        <v>0.1</v>
      </c>
      <c r="Z4" s="31">
        <v>300</v>
      </c>
      <c r="AA4" s="31" t="s">
        <v>80</v>
      </c>
      <c r="AB4" s="31" t="s">
        <v>81</v>
      </c>
      <c r="AC4" s="31" t="s">
        <v>92</v>
      </c>
      <c r="AD4" s="29">
        <v>6.5</v>
      </c>
      <c r="AE4" s="29">
        <v>0</v>
      </c>
      <c r="AF4" s="29"/>
    </row>
    <row r="5" spans="1:59" x14ac:dyDescent="0.2">
      <c r="A5">
        <v>4</v>
      </c>
      <c r="B5">
        <v>34</v>
      </c>
      <c r="C5">
        <v>138</v>
      </c>
      <c r="D5">
        <v>72.421052631578959</v>
      </c>
      <c r="E5">
        <v>1</v>
      </c>
      <c r="F5">
        <v>1</v>
      </c>
      <c r="G5">
        <v>0.19779390901467531</v>
      </c>
      <c r="H5">
        <v>8.6452523189505318E-3</v>
      </c>
      <c r="I5">
        <v>1.024434484514424</v>
      </c>
      <c r="J5">
        <v>-15.01188871735031</v>
      </c>
      <c r="K5">
        <v>1</v>
      </c>
      <c r="L5" s="30">
        <v>2.5000000000000001E-3</v>
      </c>
      <c r="M5" s="30">
        <v>0.2</v>
      </c>
      <c r="N5" s="30">
        <v>1.8</v>
      </c>
      <c r="O5" s="30">
        <v>0.3</v>
      </c>
      <c r="P5" s="30">
        <v>0.25</v>
      </c>
      <c r="Q5" s="30">
        <v>1.7</v>
      </c>
      <c r="R5" s="30">
        <v>0.55000000000000004</v>
      </c>
      <c r="S5" s="30">
        <v>0.25</v>
      </c>
      <c r="T5" s="30">
        <v>8</v>
      </c>
      <c r="U5" s="30">
        <v>0.03</v>
      </c>
      <c r="V5" s="30">
        <v>0.4</v>
      </c>
      <c r="W5" s="30">
        <v>0.05</v>
      </c>
      <c r="X5" s="31">
        <v>2E-3</v>
      </c>
      <c r="Y5" s="31">
        <v>0.1</v>
      </c>
      <c r="Z5" s="31">
        <v>300</v>
      </c>
      <c r="AA5" s="31" t="s">
        <v>80</v>
      </c>
      <c r="AB5" s="31" t="s">
        <v>81</v>
      </c>
      <c r="AC5" s="31" t="s">
        <v>92</v>
      </c>
      <c r="AD5" s="29">
        <v>6.5</v>
      </c>
      <c r="AE5" s="29">
        <v>0</v>
      </c>
      <c r="AF5" s="29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</row>
    <row r="6" spans="1:59" x14ac:dyDescent="0.2">
      <c r="A6">
        <v>5</v>
      </c>
      <c r="B6">
        <v>36</v>
      </c>
      <c r="C6">
        <v>138</v>
      </c>
      <c r="D6">
        <v>211.5894736842105</v>
      </c>
      <c r="E6">
        <v>1</v>
      </c>
      <c r="F6">
        <v>1</v>
      </c>
      <c r="G6">
        <v>0.74190657101859081</v>
      </c>
      <c r="H6">
        <v>3.3553324359636087E-2</v>
      </c>
      <c r="I6">
        <v>1.0268264563990579</v>
      </c>
      <c r="J6">
        <v>-14.296731052209489</v>
      </c>
      <c r="K6">
        <v>1</v>
      </c>
      <c r="L6" s="30">
        <v>2.5000000000000001E-3</v>
      </c>
      <c r="M6" s="30">
        <v>0.2</v>
      </c>
      <c r="N6" s="30">
        <v>1.8</v>
      </c>
      <c r="O6" s="30">
        <v>0.3</v>
      </c>
      <c r="P6" s="30">
        <v>0.25</v>
      </c>
      <c r="Q6" s="30">
        <v>1.7</v>
      </c>
      <c r="R6" s="30">
        <v>0.55000000000000004</v>
      </c>
      <c r="S6" s="30">
        <v>0.25</v>
      </c>
      <c r="T6" s="30">
        <v>8</v>
      </c>
      <c r="U6" s="30">
        <v>0.03</v>
      </c>
      <c r="V6" s="30">
        <v>0.4</v>
      </c>
      <c r="W6" s="30">
        <v>0.05</v>
      </c>
      <c r="X6" s="31">
        <v>2E-3</v>
      </c>
      <c r="Y6" s="31">
        <v>0.1</v>
      </c>
      <c r="Z6" s="31">
        <v>300</v>
      </c>
      <c r="AA6" s="31" t="s">
        <v>80</v>
      </c>
      <c r="AB6" s="31" t="s">
        <v>81</v>
      </c>
      <c r="AC6" s="31" t="s">
        <v>92</v>
      </c>
      <c r="AD6" s="29">
        <v>6.5</v>
      </c>
      <c r="AE6" s="29">
        <v>0</v>
      </c>
      <c r="AF6" s="29"/>
    </row>
    <row r="7" spans="1:59" x14ac:dyDescent="0.2">
      <c r="A7">
        <v>6</v>
      </c>
      <c r="B7">
        <v>40</v>
      </c>
      <c r="C7">
        <v>138</v>
      </c>
      <c r="D7">
        <v>56.842105263157897</v>
      </c>
      <c r="E7">
        <v>1</v>
      </c>
      <c r="F7">
        <v>1</v>
      </c>
      <c r="G7">
        <v>0.17591183108600739</v>
      </c>
      <c r="H7">
        <v>2.445101803750432E-3</v>
      </c>
      <c r="I7">
        <v>1.0185708120891741</v>
      </c>
      <c r="J7">
        <v>-13.362237792991079</v>
      </c>
      <c r="K7">
        <v>1</v>
      </c>
      <c r="L7" s="30">
        <v>2.5000000000000001E-3</v>
      </c>
      <c r="M7" s="30">
        <v>0.2</v>
      </c>
      <c r="N7" s="30">
        <v>1.8</v>
      </c>
      <c r="O7" s="30">
        <v>0.3</v>
      </c>
      <c r="P7" s="30">
        <v>0.25</v>
      </c>
      <c r="Q7" s="30">
        <v>1.7</v>
      </c>
      <c r="R7" s="30">
        <v>0.55000000000000004</v>
      </c>
      <c r="S7" s="30">
        <v>0.25</v>
      </c>
      <c r="T7" s="30">
        <v>8</v>
      </c>
      <c r="U7" s="30">
        <v>0.03</v>
      </c>
      <c r="V7" s="30">
        <v>0.4</v>
      </c>
      <c r="W7" s="30">
        <v>0.05</v>
      </c>
      <c r="X7" s="31">
        <v>2E-3</v>
      </c>
      <c r="Y7" s="31">
        <v>0.1</v>
      </c>
      <c r="Z7" s="31">
        <v>300</v>
      </c>
      <c r="AA7" s="31" t="s">
        <v>80</v>
      </c>
      <c r="AB7" s="31" t="s">
        <v>81</v>
      </c>
      <c r="AC7" s="31" t="s">
        <v>92</v>
      </c>
      <c r="AD7" s="29">
        <v>6.5</v>
      </c>
      <c r="AE7" s="29">
        <v>0</v>
      </c>
      <c r="AF7" s="29"/>
    </row>
    <row r="8" spans="1:59" x14ac:dyDescent="0.2">
      <c r="A8">
        <v>7</v>
      </c>
      <c r="B8">
        <v>46</v>
      </c>
      <c r="C8">
        <v>138</v>
      </c>
      <c r="D8">
        <v>259.22105263157903</v>
      </c>
      <c r="E8">
        <v>1</v>
      </c>
      <c r="F8">
        <v>1</v>
      </c>
      <c r="G8">
        <v>0.43408743711278103</v>
      </c>
      <c r="H8">
        <v>7.6863220386884706E-3</v>
      </c>
      <c r="I8">
        <v>1.028121455550884</v>
      </c>
      <c r="J8">
        <v>-1.535353994696081</v>
      </c>
      <c r="K8">
        <v>1</v>
      </c>
      <c r="L8" s="30">
        <v>2.5000000000000001E-3</v>
      </c>
      <c r="M8" s="30">
        <v>0.2</v>
      </c>
      <c r="N8" s="30">
        <v>1.8</v>
      </c>
      <c r="O8" s="30">
        <v>0.3</v>
      </c>
      <c r="P8" s="30">
        <v>0.25</v>
      </c>
      <c r="Q8" s="30">
        <v>1.7</v>
      </c>
      <c r="R8" s="30">
        <v>0.55000000000000004</v>
      </c>
      <c r="S8" s="30">
        <v>0.25</v>
      </c>
      <c r="T8" s="30">
        <v>8</v>
      </c>
      <c r="U8" s="30">
        <v>0.03</v>
      </c>
      <c r="V8" s="30">
        <v>0.4</v>
      </c>
      <c r="W8" s="30">
        <v>0.05</v>
      </c>
      <c r="X8" s="31">
        <v>2E-3</v>
      </c>
      <c r="Y8" s="31">
        <v>0.1</v>
      </c>
      <c r="Z8" s="31">
        <v>300</v>
      </c>
      <c r="AA8" s="31" t="s">
        <v>80</v>
      </c>
      <c r="AB8" s="31" t="s">
        <v>81</v>
      </c>
      <c r="AC8" s="31" t="s">
        <v>92</v>
      </c>
      <c r="AD8" s="29">
        <v>6.5</v>
      </c>
      <c r="AE8" s="29">
        <v>0</v>
      </c>
      <c r="AF8" s="29"/>
    </row>
    <row r="9" spans="1:59" x14ac:dyDescent="0.2">
      <c r="A9">
        <v>8</v>
      </c>
      <c r="B9">
        <v>49</v>
      </c>
      <c r="C9">
        <v>138</v>
      </c>
      <c r="D9">
        <v>416.15789473684208</v>
      </c>
      <c r="E9">
        <v>1</v>
      </c>
      <c r="F9">
        <v>1</v>
      </c>
      <c r="G9">
        <v>0.64143758669407447</v>
      </c>
      <c r="H9">
        <v>6.0090534807527567E-2</v>
      </c>
      <c r="I9">
        <v>1.0216381635237171</v>
      </c>
      <c r="J9">
        <v>-5.7192854882188131</v>
      </c>
      <c r="K9">
        <v>1</v>
      </c>
      <c r="L9" s="30">
        <v>2.5000000000000001E-3</v>
      </c>
      <c r="M9" s="30">
        <v>0.2</v>
      </c>
      <c r="N9" s="30">
        <v>1.8</v>
      </c>
      <c r="O9" s="30">
        <v>0.3</v>
      </c>
      <c r="P9" s="30">
        <v>0.25</v>
      </c>
      <c r="Q9" s="30">
        <v>1.7</v>
      </c>
      <c r="R9" s="30">
        <v>0.55000000000000004</v>
      </c>
      <c r="S9" s="30">
        <v>0.25</v>
      </c>
      <c r="T9" s="30">
        <v>8</v>
      </c>
      <c r="U9" s="30">
        <v>0.03</v>
      </c>
      <c r="V9" s="30">
        <v>0.4</v>
      </c>
      <c r="W9" s="30">
        <v>0.05</v>
      </c>
      <c r="X9" s="31">
        <v>2E-3</v>
      </c>
      <c r="Y9" s="31">
        <v>0.1</v>
      </c>
      <c r="Z9" s="31">
        <v>300</v>
      </c>
      <c r="AA9" s="31" t="s">
        <v>80</v>
      </c>
      <c r="AB9" s="31" t="s">
        <v>81</v>
      </c>
      <c r="AC9" s="31" t="s">
        <v>92</v>
      </c>
      <c r="AD9" s="29">
        <v>6.5</v>
      </c>
      <c r="AE9" s="29">
        <v>0</v>
      </c>
      <c r="AF9" s="29"/>
    </row>
    <row r="10" spans="1:59" x14ac:dyDescent="0.2">
      <c r="A10">
        <v>9</v>
      </c>
      <c r="B10">
        <v>54</v>
      </c>
      <c r="C10">
        <v>138</v>
      </c>
      <c r="D10">
        <v>149.89473684210529</v>
      </c>
      <c r="E10">
        <v>1</v>
      </c>
      <c r="F10">
        <v>1</v>
      </c>
      <c r="G10">
        <v>0.27882064368741449</v>
      </c>
      <c r="H10">
        <v>3.5639563224586723E-2</v>
      </c>
      <c r="I10">
        <v>0.98701888761517842</v>
      </c>
      <c r="J10">
        <v>-9.4793331168900163</v>
      </c>
      <c r="K10">
        <v>1</v>
      </c>
      <c r="L10" s="30">
        <v>2.5000000000000001E-3</v>
      </c>
      <c r="M10" s="30">
        <v>0.2</v>
      </c>
      <c r="N10" s="30">
        <v>1.8</v>
      </c>
      <c r="O10" s="30">
        <v>0.3</v>
      </c>
      <c r="P10" s="30">
        <v>0.25</v>
      </c>
      <c r="Q10" s="30">
        <v>1.7</v>
      </c>
      <c r="R10" s="30">
        <v>0.55000000000000004</v>
      </c>
      <c r="S10" s="30">
        <v>0.25</v>
      </c>
      <c r="T10" s="30">
        <v>8</v>
      </c>
      <c r="U10" s="30">
        <v>0.03</v>
      </c>
      <c r="V10" s="30">
        <v>0.4</v>
      </c>
      <c r="W10" s="30">
        <v>0.05</v>
      </c>
      <c r="X10" s="31">
        <v>2E-3</v>
      </c>
      <c r="Y10" s="31">
        <v>0.1</v>
      </c>
      <c r="Z10" s="31">
        <v>300</v>
      </c>
      <c r="AA10" s="31" t="s">
        <v>80</v>
      </c>
      <c r="AB10" s="31" t="s">
        <v>81</v>
      </c>
      <c r="AC10" s="31" t="s">
        <v>92</v>
      </c>
      <c r="AD10" s="29">
        <v>6.5</v>
      </c>
      <c r="AE10" s="29">
        <v>0</v>
      </c>
      <c r="AF10" s="29"/>
    </row>
    <row r="11" spans="1:59" x14ac:dyDescent="0.2">
      <c r="A11">
        <v>10</v>
      </c>
      <c r="B11">
        <v>59</v>
      </c>
      <c r="C11">
        <v>138</v>
      </c>
      <c r="D11">
        <v>2628.757894736842</v>
      </c>
      <c r="E11">
        <v>1</v>
      </c>
      <c r="F11">
        <v>1</v>
      </c>
      <c r="G11">
        <v>6.3322807629666604</v>
      </c>
      <c r="H11">
        <v>0.69281511672042506</v>
      </c>
      <c r="I11">
        <v>1.022016725083408</v>
      </c>
      <c r="J11">
        <v>-5.7205162304770436</v>
      </c>
      <c r="K11">
        <v>1</v>
      </c>
      <c r="L11" s="30">
        <v>2.5000000000000001E-3</v>
      </c>
      <c r="M11" s="30">
        <v>0.2</v>
      </c>
      <c r="N11" s="30">
        <v>1.8</v>
      </c>
      <c r="O11" s="30">
        <v>0.3</v>
      </c>
      <c r="P11" s="30">
        <v>0.25</v>
      </c>
      <c r="Q11" s="30">
        <v>1.7</v>
      </c>
      <c r="R11" s="30">
        <v>0.55000000000000004</v>
      </c>
      <c r="S11" s="30">
        <v>0.25</v>
      </c>
      <c r="T11" s="30">
        <v>8</v>
      </c>
      <c r="U11" s="30">
        <v>0.03</v>
      </c>
      <c r="V11" s="30">
        <v>0.4</v>
      </c>
      <c r="W11" s="30">
        <v>0.05</v>
      </c>
      <c r="X11" s="31">
        <v>2E-3</v>
      </c>
      <c r="Y11" s="31">
        <v>0.1</v>
      </c>
      <c r="Z11" s="31">
        <v>300</v>
      </c>
      <c r="AA11" s="31" t="s">
        <v>80</v>
      </c>
      <c r="AB11" s="31" t="s">
        <v>81</v>
      </c>
      <c r="AC11" s="31" t="s">
        <v>92</v>
      </c>
      <c r="AD11" s="29">
        <v>6.5</v>
      </c>
      <c r="AE11" s="29">
        <v>0</v>
      </c>
      <c r="AF11" s="29"/>
    </row>
    <row r="12" spans="1:59" x14ac:dyDescent="0.2">
      <c r="A12">
        <v>11</v>
      </c>
      <c r="B12">
        <v>65</v>
      </c>
      <c r="C12">
        <v>345</v>
      </c>
      <c r="D12">
        <v>789.18947368421061</v>
      </c>
      <c r="E12">
        <v>2</v>
      </c>
      <c r="F12">
        <v>1</v>
      </c>
      <c r="G12">
        <v>3.0320313255346791</v>
      </c>
      <c r="H12">
        <v>0.12659630687115611</v>
      </c>
      <c r="I12">
        <v>1.038177813942041</v>
      </c>
      <c r="J12">
        <v>-4.4665703937090804</v>
      </c>
      <c r="K12">
        <v>1</v>
      </c>
      <c r="L12" s="30">
        <v>2.5000000000000001E-3</v>
      </c>
      <c r="M12" s="30">
        <v>0.2</v>
      </c>
      <c r="N12" s="30">
        <v>1.8</v>
      </c>
      <c r="O12" s="30">
        <v>0.3</v>
      </c>
      <c r="P12" s="30">
        <v>0.25</v>
      </c>
      <c r="Q12" s="30">
        <v>1.7</v>
      </c>
      <c r="R12" s="30">
        <v>0.55000000000000004</v>
      </c>
      <c r="S12" s="30">
        <v>0.25</v>
      </c>
      <c r="T12" s="30">
        <v>8</v>
      </c>
      <c r="U12" s="30">
        <v>0.03</v>
      </c>
      <c r="V12" s="30">
        <v>0.4</v>
      </c>
      <c r="W12" s="30">
        <v>0.05</v>
      </c>
      <c r="X12" s="31">
        <v>2E-3</v>
      </c>
      <c r="Y12" s="31">
        <v>0.1</v>
      </c>
      <c r="Z12" s="31">
        <v>300</v>
      </c>
      <c r="AA12" s="31" t="s">
        <v>80</v>
      </c>
      <c r="AB12" s="31" t="s">
        <v>81</v>
      </c>
      <c r="AC12" s="31" t="s">
        <v>92</v>
      </c>
      <c r="AD12" s="29">
        <v>6.5</v>
      </c>
      <c r="AE12" s="29">
        <v>0</v>
      </c>
      <c r="AF12" s="29"/>
    </row>
    <row r="13" spans="1:59" x14ac:dyDescent="0.2">
      <c r="A13">
        <v>12</v>
      </c>
      <c r="B13">
        <v>70</v>
      </c>
      <c r="C13">
        <v>138</v>
      </c>
      <c r="D13">
        <v>336.84210526315792</v>
      </c>
      <c r="E13">
        <v>1</v>
      </c>
      <c r="F13">
        <v>1</v>
      </c>
      <c r="G13">
        <v>1.754942111199536</v>
      </c>
      <c r="H13">
        <v>7.861987972649323E-2</v>
      </c>
      <c r="I13">
        <v>1.003431770920024</v>
      </c>
      <c r="J13">
        <v>-2.437855444651277</v>
      </c>
      <c r="K13">
        <v>1</v>
      </c>
      <c r="L13" s="30">
        <v>2.5000000000000001E-3</v>
      </c>
      <c r="M13" s="30">
        <v>0.2</v>
      </c>
      <c r="N13" s="30">
        <v>1.8</v>
      </c>
      <c r="O13" s="30">
        <v>0.3</v>
      </c>
      <c r="P13" s="30">
        <v>0.25</v>
      </c>
      <c r="Q13" s="30">
        <v>1.7</v>
      </c>
      <c r="R13" s="30">
        <v>0.55000000000000004</v>
      </c>
      <c r="S13" s="30">
        <v>0.25</v>
      </c>
      <c r="T13" s="30">
        <v>8</v>
      </c>
      <c r="U13" s="30">
        <v>0.03</v>
      </c>
      <c r="V13" s="30">
        <v>0.4</v>
      </c>
      <c r="W13" s="30">
        <v>0.05</v>
      </c>
      <c r="X13" s="31">
        <v>2E-3</v>
      </c>
      <c r="Y13" s="31">
        <v>0.1</v>
      </c>
      <c r="Z13" s="31">
        <v>300</v>
      </c>
      <c r="AA13" s="31" t="s">
        <v>80</v>
      </c>
      <c r="AB13" s="31" t="s">
        <v>81</v>
      </c>
      <c r="AC13" s="31" t="s">
        <v>92</v>
      </c>
      <c r="AD13" s="29">
        <v>6.5</v>
      </c>
      <c r="AE13" s="29">
        <v>0</v>
      </c>
      <c r="AF13" s="29"/>
    </row>
    <row r="14" spans="1:59" x14ac:dyDescent="0.2">
      <c r="A14">
        <v>13</v>
      </c>
      <c r="B14">
        <v>72</v>
      </c>
      <c r="C14">
        <v>138</v>
      </c>
      <c r="D14">
        <v>342.10526315789468</v>
      </c>
      <c r="E14">
        <v>1</v>
      </c>
      <c r="F14">
        <v>1</v>
      </c>
      <c r="G14">
        <v>1.2596338310243109</v>
      </c>
      <c r="H14">
        <v>3.6415805537548798E-3</v>
      </c>
      <c r="I14">
        <v>1.0416766910000901</v>
      </c>
      <c r="J14">
        <v>3.3576357995765722</v>
      </c>
      <c r="K14">
        <v>1</v>
      </c>
      <c r="L14" s="30">
        <v>2.5000000000000001E-3</v>
      </c>
      <c r="M14" s="30">
        <v>0.2</v>
      </c>
      <c r="N14" s="30">
        <v>1.8</v>
      </c>
      <c r="O14" s="30">
        <v>0.3</v>
      </c>
      <c r="P14" s="30">
        <v>0.25</v>
      </c>
      <c r="Q14" s="30">
        <v>1.7</v>
      </c>
      <c r="R14" s="30">
        <v>0.55000000000000004</v>
      </c>
      <c r="S14" s="30">
        <v>0.25</v>
      </c>
      <c r="T14" s="30">
        <v>8</v>
      </c>
      <c r="U14" s="30">
        <v>0.03</v>
      </c>
      <c r="V14" s="30">
        <v>0.4</v>
      </c>
      <c r="W14" s="30">
        <v>0.05</v>
      </c>
      <c r="X14" s="31">
        <v>2E-3</v>
      </c>
      <c r="Y14" s="31">
        <v>0.1</v>
      </c>
      <c r="Z14" s="31">
        <v>300</v>
      </c>
      <c r="AA14" s="31" t="s">
        <v>80</v>
      </c>
      <c r="AB14" s="31" t="s">
        <v>81</v>
      </c>
      <c r="AC14" s="31" t="s">
        <v>92</v>
      </c>
      <c r="AD14" s="29">
        <v>6.5</v>
      </c>
      <c r="AE14" s="29">
        <v>0</v>
      </c>
      <c r="AF14" s="29"/>
    </row>
    <row r="15" spans="1:59" x14ac:dyDescent="0.2">
      <c r="A15">
        <v>14</v>
      </c>
      <c r="B15">
        <v>73</v>
      </c>
      <c r="C15">
        <v>138</v>
      </c>
      <c r="D15">
        <v>105.26315789473681</v>
      </c>
      <c r="E15">
        <v>1</v>
      </c>
      <c r="F15">
        <v>1</v>
      </c>
      <c r="G15">
        <v>0.43235268898857349</v>
      </c>
      <c r="H15">
        <v>1.6258642349100531E-3</v>
      </c>
      <c r="I15">
        <v>1.021948794885799</v>
      </c>
      <c r="J15">
        <v>2.0174984451685369</v>
      </c>
      <c r="K15">
        <v>1</v>
      </c>
      <c r="L15" s="30">
        <v>2.5000000000000001E-3</v>
      </c>
      <c r="M15" s="30">
        <v>0.2</v>
      </c>
      <c r="N15" s="30">
        <v>1.8</v>
      </c>
      <c r="O15" s="30">
        <v>0.3</v>
      </c>
      <c r="P15" s="30">
        <v>0.25</v>
      </c>
      <c r="Q15" s="30">
        <v>1.7</v>
      </c>
      <c r="R15" s="30">
        <v>0.55000000000000004</v>
      </c>
      <c r="S15" s="30">
        <v>0.25</v>
      </c>
      <c r="T15" s="30">
        <v>8</v>
      </c>
      <c r="U15" s="30">
        <v>0.03</v>
      </c>
      <c r="V15" s="30">
        <v>0.4</v>
      </c>
      <c r="W15" s="30">
        <v>0.05</v>
      </c>
      <c r="X15" s="31">
        <v>2E-3</v>
      </c>
      <c r="Y15" s="31">
        <v>0.1</v>
      </c>
      <c r="Z15" s="31">
        <v>300</v>
      </c>
      <c r="AA15" s="31" t="s">
        <v>80</v>
      </c>
      <c r="AB15" s="31" t="s">
        <v>81</v>
      </c>
      <c r="AC15" s="31" t="s">
        <v>92</v>
      </c>
      <c r="AD15" s="29">
        <v>6.5</v>
      </c>
      <c r="AE15" s="29">
        <v>0</v>
      </c>
      <c r="AF15" s="29"/>
    </row>
    <row r="16" spans="1:59" x14ac:dyDescent="0.2">
      <c r="A16">
        <v>15</v>
      </c>
      <c r="B16">
        <v>76</v>
      </c>
      <c r="C16">
        <v>138</v>
      </c>
      <c r="D16">
        <v>934.49473684210534</v>
      </c>
      <c r="E16">
        <v>1</v>
      </c>
      <c r="F16">
        <v>1</v>
      </c>
      <c r="G16">
        <v>2.6756169292185432</v>
      </c>
      <c r="H16">
        <v>0.24075300869547009</v>
      </c>
      <c r="I16">
        <v>1.0321895998935131</v>
      </c>
      <c r="J16">
        <v>2.7236349756898739</v>
      </c>
      <c r="K16">
        <v>1</v>
      </c>
      <c r="L16" s="30">
        <v>2.5000000000000001E-3</v>
      </c>
      <c r="M16" s="30">
        <v>0.2</v>
      </c>
      <c r="N16" s="30">
        <v>1.8</v>
      </c>
      <c r="O16" s="30">
        <v>0.3</v>
      </c>
      <c r="P16" s="30">
        <v>0.25</v>
      </c>
      <c r="Q16" s="30">
        <v>1.7</v>
      </c>
      <c r="R16" s="30">
        <v>0.55000000000000004</v>
      </c>
      <c r="S16" s="30">
        <v>0.25</v>
      </c>
      <c r="T16" s="30">
        <v>8</v>
      </c>
      <c r="U16" s="30">
        <v>0.03</v>
      </c>
      <c r="V16" s="30">
        <v>0.4</v>
      </c>
      <c r="W16" s="30">
        <v>0.05</v>
      </c>
      <c r="X16" s="31">
        <v>2E-3</v>
      </c>
      <c r="Y16" s="31">
        <v>0.1</v>
      </c>
      <c r="Z16" s="31">
        <v>300</v>
      </c>
      <c r="AA16" s="31" t="s">
        <v>80</v>
      </c>
      <c r="AB16" s="31" t="s">
        <v>81</v>
      </c>
      <c r="AC16" s="31" t="s">
        <v>92</v>
      </c>
      <c r="AD16" s="29">
        <v>6.5</v>
      </c>
      <c r="AE16" s="29">
        <v>0</v>
      </c>
      <c r="AF16" s="29"/>
    </row>
    <row r="17" spans="1:32" x14ac:dyDescent="0.2">
      <c r="A17">
        <v>16</v>
      </c>
      <c r="B17">
        <v>77</v>
      </c>
      <c r="C17">
        <v>138</v>
      </c>
      <c r="D17">
        <v>1677.2105263157889</v>
      </c>
      <c r="E17">
        <v>1</v>
      </c>
      <c r="F17">
        <v>1</v>
      </c>
      <c r="G17">
        <v>4.8340153647464694</v>
      </c>
      <c r="H17">
        <v>0.90076513285612525</v>
      </c>
      <c r="I17">
        <v>1.041936100330741</v>
      </c>
      <c r="J17">
        <v>-5.0195446926311442E-2</v>
      </c>
      <c r="K17">
        <v>1</v>
      </c>
      <c r="L17" s="30">
        <v>2.5000000000000001E-3</v>
      </c>
      <c r="M17" s="30">
        <v>0.2</v>
      </c>
      <c r="N17" s="30">
        <v>1.8</v>
      </c>
      <c r="O17" s="30">
        <v>0.3</v>
      </c>
      <c r="P17" s="30">
        <v>0.25</v>
      </c>
      <c r="Q17" s="30">
        <v>1.7</v>
      </c>
      <c r="R17" s="30">
        <v>0.55000000000000004</v>
      </c>
      <c r="S17" s="30">
        <v>0.25</v>
      </c>
      <c r="T17" s="30">
        <v>8</v>
      </c>
      <c r="U17" s="30">
        <v>0.03</v>
      </c>
      <c r="V17" s="30">
        <v>0.4</v>
      </c>
      <c r="W17" s="30">
        <v>0.05</v>
      </c>
      <c r="X17" s="31">
        <v>2E-3</v>
      </c>
      <c r="Y17" s="31">
        <v>0.1</v>
      </c>
      <c r="Z17" s="31">
        <v>300</v>
      </c>
      <c r="AA17" s="31" t="s">
        <v>80</v>
      </c>
      <c r="AB17" s="31" t="s">
        <v>81</v>
      </c>
      <c r="AC17" s="31" t="s">
        <v>92</v>
      </c>
      <c r="AD17" s="29">
        <v>6.5</v>
      </c>
      <c r="AE17" s="29">
        <v>0</v>
      </c>
      <c r="AF17" s="29"/>
    </row>
    <row r="18" spans="1:32" x14ac:dyDescent="0.2">
      <c r="A18">
        <v>17</v>
      </c>
      <c r="B18">
        <v>80</v>
      </c>
      <c r="C18">
        <v>138</v>
      </c>
      <c r="D18">
        <v>2798.5052631578951</v>
      </c>
      <c r="E18">
        <v>1</v>
      </c>
      <c r="F18">
        <v>1</v>
      </c>
      <c r="G18">
        <v>6.4421219890113361</v>
      </c>
      <c r="H18">
        <v>1.2190309711997891</v>
      </c>
      <c r="I18">
        <v>1.047744917163979</v>
      </c>
      <c r="J18">
        <v>-4.6705305367108325E-16</v>
      </c>
      <c r="K18">
        <v>0</v>
      </c>
      <c r="L18" s="30">
        <v>2.5000000000000001E-3</v>
      </c>
      <c r="M18" s="30">
        <v>0.2</v>
      </c>
      <c r="N18" s="30">
        <v>1.8</v>
      </c>
      <c r="O18" s="30">
        <v>0.3</v>
      </c>
      <c r="P18" s="30">
        <v>0.25</v>
      </c>
      <c r="Q18" s="30">
        <v>1.7</v>
      </c>
      <c r="R18" s="30">
        <v>0.55000000000000004</v>
      </c>
      <c r="S18" s="30">
        <v>0.25</v>
      </c>
      <c r="T18" s="30">
        <v>8</v>
      </c>
      <c r="U18" s="30">
        <v>0.03</v>
      </c>
      <c r="V18" s="30">
        <v>0.4</v>
      </c>
      <c r="W18" s="30">
        <v>0.05</v>
      </c>
      <c r="X18" s="31">
        <v>2E-3</v>
      </c>
      <c r="Y18" s="31">
        <v>0.1</v>
      </c>
      <c r="Z18" s="31">
        <v>300</v>
      </c>
      <c r="AA18" s="31" t="s">
        <v>80</v>
      </c>
      <c r="AB18" s="31" t="s">
        <v>81</v>
      </c>
      <c r="AC18" s="31" t="s">
        <v>92</v>
      </c>
      <c r="AD18" s="29">
        <v>6.5</v>
      </c>
      <c r="AE18" s="29">
        <v>0</v>
      </c>
      <c r="AF18" s="29"/>
    </row>
    <row r="19" spans="1:32" x14ac:dyDescent="0.2">
      <c r="A19">
        <v>18</v>
      </c>
      <c r="B19">
        <v>85</v>
      </c>
      <c r="C19">
        <v>138</v>
      </c>
      <c r="D19">
        <v>136.8315789473684</v>
      </c>
      <c r="E19">
        <v>1</v>
      </c>
      <c r="F19">
        <v>1</v>
      </c>
      <c r="G19">
        <v>0.76827535337235708</v>
      </c>
      <c r="H19">
        <v>0.1670322692350738</v>
      </c>
      <c r="I19">
        <v>0.979012988016702</v>
      </c>
      <c r="J19">
        <v>-4.9142195241020232</v>
      </c>
      <c r="K19">
        <v>1</v>
      </c>
      <c r="L19" s="30">
        <v>2.5000000000000001E-3</v>
      </c>
      <c r="M19" s="30">
        <v>0.2</v>
      </c>
      <c r="N19" s="30">
        <v>1.8</v>
      </c>
      <c r="O19" s="30">
        <v>0.3</v>
      </c>
      <c r="P19" s="30">
        <v>0.25</v>
      </c>
      <c r="Q19" s="30">
        <v>1.7</v>
      </c>
      <c r="R19" s="30">
        <v>0.55000000000000004</v>
      </c>
      <c r="S19" s="30">
        <v>0.25</v>
      </c>
      <c r="T19" s="30">
        <v>8</v>
      </c>
      <c r="U19" s="30">
        <v>0.03</v>
      </c>
      <c r="V19" s="30">
        <v>0.4</v>
      </c>
      <c r="W19" s="30">
        <v>0.05</v>
      </c>
      <c r="X19" s="31">
        <v>2E-3</v>
      </c>
      <c r="Y19" s="31">
        <v>0.1</v>
      </c>
      <c r="Z19" s="31">
        <v>300</v>
      </c>
      <c r="AA19" s="31" t="s">
        <v>80</v>
      </c>
      <c r="AB19" s="31" t="s">
        <v>81</v>
      </c>
      <c r="AC19" s="31" t="s">
        <v>92</v>
      </c>
      <c r="AD19" s="29">
        <v>6.5</v>
      </c>
      <c r="AE19" s="29">
        <v>0</v>
      </c>
      <c r="AF19" s="29"/>
    </row>
    <row r="20" spans="1:32" x14ac:dyDescent="0.2">
      <c r="A20">
        <v>19</v>
      </c>
      <c r="B20">
        <v>89</v>
      </c>
      <c r="C20">
        <v>138</v>
      </c>
      <c r="D20">
        <v>980.52631578947376</v>
      </c>
      <c r="E20">
        <v>1</v>
      </c>
      <c r="F20">
        <v>1</v>
      </c>
      <c r="G20">
        <v>3.5035073675349531</v>
      </c>
      <c r="H20">
        <v>0.90487937698536103</v>
      </c>
      <c r="I20">
        <v>1.060326679675462</v>
      </c>
      <c r="J20">
        <v>5.0979824555130113</v>
      </c>
      <c r="K20">
        <v>1</v>
      </c>
      <c r="L20" s="30">
        <v>2.5000000000000001E-3</v>
      </c>
      <c r="M20" s="30">
        <v>0.2</v>
      </c>
      <c r="N20" s="30">
        <v>1.8</v>
      </c>
      <c r="O20" s="30">
        <v>0.3</v>
      </c>
      <c r="P20" s="30">
        <v>0.25</v>
      </c>
      <c r="Q20" s="30">
        <v>1.7</v>
      </c>
      <c r="R20" s="30">
        <v>0.55000000000000004</v>
      </c>
      <c r="S20" s="30">
        <v>0.25</v>
      </c>
      <c r="T20" s="30">
        <v>8</v>
      </c>
      <c r="U20" s="30">
        <v>0.03</v>
      </c>
      <c r="V20" s="30">
        <v>0.4</v>
      </c>
      <c r="W20" s="30">
        <v>0.05</v>
      </c>
      <c r="X20" s="31">
        <v>2E-3</v>
      </c>
      <c r="Y20" s="31">
        <v>0.1</v>
      </c>
      <c r="Z20" s="31">
        <v>300</v>
      </c>
      <c r="AA20" s="31" t="s">
        <v>80</v>
      </c>
      <c r="AB20" s="31" t="s">
        <v>81</v>
      </c>
      <c r="AC20" s="31" t="s">
        <v>92</v>
      </c>
      <c r="AD20" s="29">
        <v>6.5</v>
      </c>
      <c r="AE20" s="29">
        <v>0</v>
      </c>
      <c r="AF20" s="29"/>
    </row>
    <row r="21" spans="1:32" x14ac:dyDescent="0.2">
      <c r="A21">
        <v>20</v>
      </c>
      <c r="B21">
        <v>90</v>
      </c>
      <c r="C21">
        <v>138</v>
      </c>
      <c r="D21">
        <v>95.715789473684211</v>
      </c>
      <c r="E21">
        <v>1</v>
      </c>
      <c r="F21">
        <v>1</v>
      </c>
      <c r="G21">
        <v>0.69918171452570232</v>
      </c>
      <c r="H21">
        <v>0.1172538303556719</v>
      </c>
      <c r="I21">
        <v>1.0481740465500491</v>
      </c>
      <c r="J21">
        <v>3.4966841753159992</v>
      </c>
      <c r="K21">
        <v>1</v>
      </c>
      <c r="L21" s="30">
        <v>2.5000000000000001E-3</v>
      </c>
      <c r="M21" s="30">
        <v>0.2</v>
      </c>
      <c r="N21" s="30">
        <v>1.8</v>
      </c>
      <c r="O21" s="30">
        <v>0.3</v>
      </c>
      <c r="P21" s="30">
        <v>0.25</v>
      </c>
      <c r="Q21" s="30">
        <v>1.7</v>
      </c>
      <c r="R21" s="30">
        <v>0.55000000000000004</v>
      </c>
      <c r="S21" s="30">
        <v>0.25</v>
      </c>
      <c r="T21" s="30">
        <v>8</v>
      </c>
      <c r="U21" s="30">
        <v>0.03</v>
      </c>
      <c r="V21" s="30">
        <v>0.4</v>
      </c>
      <c r="W21" s="30">
        <v>0.05</v>
      </c>
      <c r="X21" s="31">
        <v>2E-3</v>
      </c>
      <c r="Y21" s="31">
        <v>0.1</v>
      </c>
      <c r="Z21" s="31">
        <v>300</v>
      </c>
      <c r="AA21" s="31" t="s">
        <v>80</v>
      </c>
      <c r="AB21" s="31" t="s">
        <v>81</v>
      </c>
      <c r="AC21" s="31" t="s">
        <v>92</v>
      </c>
      <c r="AD21" s="29">
        <v>6.5</v>
      </c>
      <c r="AE21" s="29">
        <v>0</v>
      </c>
      <c r="AF21" s="29"/>
    </row>
    <row r="22" spans="1:32" x14ac:dyDescent="0.2">
      <c r="A22">
        <v>21</v>
      </c>
      <c r="B22">
        <v>92</v>
      </c>
      <c r="C22">
        <v>138</v>
      </c>
      <c r="D22">
        <v>918.00000000000011</v>
      </c>
      <c r="E22">
        <v>1</v>
      </c>
      <c r="F22">
        <v>1</v>
      </c>
      <c r="G22">
        <v>1.479939332580265</v>
      </c>
      <c r="H22">
        <v>0.36053404342147699</v>
      </c>
      <c r="I22">
        <v>1.052036438192276</v>
      </c>
      <c r="J22">
        <v>3.678268180153017</v>
      </c>
      <c r="K22">
        <v>1</v>
      </c>
      <c r="L22" s="30">
        <v>2.5000000000000001E-3</v>
      </c>
      <c r="M22" s="30">
        <v>0.2</v>
      </c>
      <c r="N22" s="30">
        <v>1.8</v>
      </c>
      <c r="O22" s="30">
        <v>0.3</v>
      </c>
      <c r="P22" s="30">
        <v>0.25</v>
      </c>
      <c r="Q22" s="30">
        <v>1.7</v>
      </c>
      <c r="R22" s="30">
        <v>0.55000000000000004</v>
      </c>
      <c r="S22" s="30">
        <v>0.25</v>
      </c>
      <c r="T22" s="30">
        <v>8</v>
      </c>
      <c r="U22" s="30">
        <v>0.03</v>
      </c>
      <c r="V22" s="30">
        <v>0.4</v>
      </c>
      <c r="W22" s="30">
        <v>0.05</v>
      </c>
      <c r="X22" s="31">
        <v>2E-3</v>
      </c>
      <c r="Y22" s="31">
        <v>0.1</v>
      </c>
      <c r="Z22" s="31">
        <v>300</v>
      </c>
      <c r="AA22" s="31" t="s">
        <v>80</v>
      </c>
      <c r="AB22" s="31" t="s">
        <v>81</v>
      </c>
      <c r="AC22" s="31" t="s">
        <v>92</v>
      </c>
      <c r="AD22" s="29">
        <v>6.5</v>
      </c>
      <c r="AE22" s="29">
        <v>0</v>
      </c>
      <c r="AF22" s="29"/>
    </row>
    <row r="23" spans="1:32" x14ac:dyDescent="0.2">
      <c r="A23">
        <v>22</v>
      </c>
      <c r="B23">
        <v>100</v>
      </c>
      <c r="C23">
        <v>138</v>
      </c>
      <c r="D23">
        <v>868.96842105263158</v>
      </c>
      <c r="E23">
        <v>1</v>
      </c>
      <c r="F23">
        <v>1</v>
      </c>
      <c r="G23">
        <v>3.2787155203374931</v>
      </c>
      <c r="H23">
        <v>0.77718081958389928</v>
      </c>
      <c r="I23">
        <v>1.0282422350664731</v>
      </c>
      <c r="J23">
        <v>2.055197707815108</v>
      </c>
      <c r="K23">
        <v>1</v>
      </c>
      <c r="L23" s="30">
        <v>2.5000000000000001E-3</v>
      </c>
      <c r="M23" s="30">
        <v>0.2</v>
      </c>
      <c r="N23" s="30">
        <v>1.8</v>
      </c>
      <c r="O23" s="30">
        <v>0.3</v>
      </c>
      <c r="P23" s="30">
        <v>0.25</v>
      </c>
      <c r="Q23" s="30">
        <v>1.7</v>
      </c>
      <c r="R23" s="30">
        <v>0.55000000000000004</v>
      </c>
      <c r="S23" s="30">
        <v>0.25</v>
      </c>
      <c r="T23" s="30">
        <v>8</v>
      </c>
      <c r="U23" s="30">
        <v>0.03</v>
      </c>
      <c r="V23" s="30">
        <v>0.4</v>
      </c>
      <c r="W23" s="30">
        <v>0.05</v>
      </c>
      <c r="X23" s="31">
        <v>2E-3</v>
      </c>
      <c r="Y23" s="31">
        <v>0.1</v>
      </c>
      <c r="Z23" s="31">
        <v>300</v>
      </c>
      <c r="AA23" s="31" t="s">
        <v>80</v>
      </c>
      <c r="AB23" s="31" t="s">
        <v>81</v>
      </c>
      <c r="AC23" s="31" t="s">
        <v>92</v>
      </c>
      <c r="AD23" s="29">
        <v>6.5</v>
      </c>
      <c r="AE23" s="29">
        <v>0</v>
      </c>
      <c r="AF23" s="29"/>
    </row>
    <row r="24" spans="1:32" x14ac:dyDescent="0.2">
      <c r="A24">
        <v>23</v>
      </c>
      <c r="B24">
        <v>105</v>
      </c>
      <c r="C24">
        <v>138</v>
      </c>
      <c r="D24">
        <v>111.8421052631579</v>
      </c>
      <c r="E24">
        <v>1</v>
      </c>
      <c r="F24">
        <v>1</v>
      </c>
      <c r="G24">
        <v>0.17088851934344229</v>
      </c>
      <c r="H24">
        <v>2.6254164170428858E-2</v>
      </c>
      <c r="I24">
        <v>0.99265881522786348</v>
      </c>
      <c r="J24">
        <v>3.1395190282107368</v>
      </c>
      <c r="K24">
        <v>1</v>
      </c>
      <c r="L24" s="30">
        <v>2.5000000000000001E-3</v>
      </c>
      <c r="M24" s="30">
        <v>0.2</v>
      </c>
      <c r="N24" s="30">
        <v>1.8</v>
      </c>
      <c r="O24" s="30">
        <v>0.3</v>
      </c>
      <c r="P24" s="30">
        <v>0.25</v>
      </c>
      <c r="Q24" s="30">
        <v>1.7</v>
      </c>
      <c r="R24" s="30">
        <v>0.55000000000000004</v>
      </c>
      <c r="S24" s="30">
        <v>0.25</v>
      </c>
      <c r="T24" s="30">
        <v>8</v>
      </c>
      <c r="U24" s="30">
        <v>0.03</v>
      </c>
      <c r="V24" s="30">
        <v>0.4</v>
      </c>
      <c r="W24" s="30">
        <v>0.05</v>
      </c>
      <c r="X24" s="31">
        <v>2E-3</v>
      </c>
      <c r="Y24" s="31">
        <v>0.1</v>
      </c>
      <c r="Z24" s="31">
        <v>300</v>
      </c>
      <c r="AA24" s="31" t="s">
        <v>80</v>
      </c>
      <c r="AB24" s="31" t="s">
        <v>81</v>
      </c>
      <c r="AC24" s="31" t="s">
        <v>92</v>
      </c>
      <c r="AD24" s="29">
        <v>6.5</v>
      </c>
      <c r="AE24" s="29">
        <v>0</v>
      </c>
      <c r="AF24" s="29"/>
    </row>
    <row r="25" spans="1:32" x14ac:dyDescent="0.2">
      <c r="A25">
        <v>24</v>
      </c>
      <c r="B25">
        <v>107</v>
      </c>
      <c r="C25">
        <v>138</v>
      </c>
      <c r="D25">
        <v>885.67368421052629</v>
      </c>
      <c r="E25">
        <v>1</v>
      </c>
      <c r="F25">
        <v>1</v>
      </c>
      <c r="G25">
        <v>2.0211449713266818</v>
      </c>
      <c r="H25">
        <v>0.30223372633986167</v>
      </c>
      <c r="I25">
        <v>1.050578933641614</v>
      </c>
      <c r="J25">
        <v>12.90807295821287</v>
      </c>
      <c r="K25">
        <v>1</v>
      </c>
      <c r="L25" s="30">
        <v>2.5000000000000001E-3</v>
      </c>
      <c r="M25" s="30">
        <v>0.2</v>
      </c>
      <c r="N25" s="30">
        <v>1.8</v>
      </c>
      <c r="O25" s="30">
        <v>0.3</v>
      </c>
      <c r="P25" s="30">
        <v>0.25</v>
      </c>
      <c r="Q25" s="30">
        <v>1.7</v>
      </c>
      <c r="R25" s="30">
        <v>0.55000000000000004</v>
      </c>
      <c r="S25" s="30">
        <v>0.25</v>
      </c>
      <c r="T25" s="30">
        <v>8</v>
      </c>
      <c r="U25" s="30">
        <v>0.03</v>
      </c>
      <c r="V25" s="30">
        <v>0.4</v>
      </c>
      <c r="W25" s="30">
        <v>0.05</v>
      </c>
      <c r="X25" s="31">
        <v>2E-3</v>
      </c>
      <c r="Y25" s="31">
        <v>0.1</v>
      </c>
      <c r="Z25" s="31">
        <v>300</v>
      </c>
      <c r="AA25" s="31" t="s">
        <v>80</v>
      </c>
      <c r="AB25" s="31" t="s">
        <v>81</v>
      </c>
      <c r="AC25" s="31" t="s">
        <v>92</v>
      </c>
      <c r="AD25" s="29">
        <v>6.5</v>
      </c>
      <c r="AE25" s="29">
        <v>0</v>
      </c>
      <c r="AF25" s="29"/>
    </row>
    <row r="26" spans="1:32" x14ac:dyDescent="0.2">
      <c r="A26">
        <v>25</v>
      </c>
      <c r="B26">
        <v>112</v>
      </c>
      <c r="C26">
        <v>138</v>
      </c>
      <c r="D26">
        <v>134.68421052631581</v>
      </c>
      <c r="E26">
        <v>1</v>
      </c>
      <c r="F26">
        <v>1</v>
      </c>
      <c r="G26">
        <v>0.28362112448191812</v>
      </c>
      <c r="H26">
        <v>3.4886850853248733E-2</v>
      </c>
      <c r="I26">
        <v>1.0157561587748429</v>
      </c>
      <c r="J26">
        <v>7.0159130848842368</v>
      </c>
      <c r="K26">
        <v>1</v>
      </c>
      <c r="L26" s="30">
        <v>2.5000000000000001E-3</v>
      </c>
      <c r="M26" s="30">
        <v>0.2</v>
      </c>
      <c r="N26" s="30">
        <v>1.8</v>
      </c>
      <c r="O26" s="30">
        <v>0.3</v>
      </c>
      <c r="P26" s="30">
        <v>0.25</v>
      </c>
      <c r="Q26" s="30">
        <v>1.7</v>
      </c>
      <c r="R26" s="30">
        <v>0.55000000000000004</v>
      </c>
      <c r="S26" s="30">
        <v>0.25</v>
      </c>
      <c r="T26" s="30">
        <v>8</v>
      </c>
      <c r="U26" s="30">
        <v>0.03</v>
      </c>
      <c r="V26" s="30">
        <v>0.4</v>
      </c>
      <c r="W26" s="30">
        <v>0.05</v>
      </c>
      <c r="X26" s="31">
        <v>2E-3</v>
      </c>
      <c r="Y26" s="31">
        <v>0.1</v>
      </c>
      <c r="Z26" s="31">
        <v>300</v>
      </c>
      <c r="AA26" s="31" t="s">
        <v>80</v>
      </c>
      <c r="AB26" s="31" t="s">
        <v>81</v>
      </c>
      <c r="AC26" s="31" t="s">
        <v>92</v>
      </c>
      <c r="AD26" s="29">
        <v>6.5</v>
      </c>
      <c r="AE26" s="29">
        <v>0</v>
      </c>
      <c r="AF26" s="29"/>
    </row>
    <row r="27" spans="1:32" x14ac:dyDescent="0.2">
      <c r="A27">
        <v>26</v>
      </c>
      <c r="B27">
        <v>113</v>
      </c>
      <c r="C27">
        <v>138</v>
      </c>
      <c r="D27">
        <v>651.57894736842104</v>
      </c>
      <c r="E27">
        <v>1</v>
      </c>
      <c r="F27">
        <v>1</v>
      </c>
      <c r="G27">
        <v>2.868936642778483</v>
      </c>
      <c r="H27">
        <v>0.42250568471434918</v>
      </c>
      <c r="I27">
        <v>1.057108754514599</v>
      </c>
      <c r="J27">
        <v>-15.100494662586421</v>
      </c>
      <c r="K27">
        <v>1</v>
      </c>
      <c r="L27" s="30">
        <v>2.5000000000000001E-3</v>
      </c>
      <c r="M27" s="30">
        <v>0.2</v>
      </c>
      <c r="N27" s="30">
        <v>1.8</v>
      </c>
      <c r="O27" s="30">
        <v>0.3</v>
      </c>
      <c r="P27" s="30">
        <v>0.25</v>
      </c>
      <c r="Q27" s="30">
        <v>1.7</v>
      </c>
      <c r="R27" s="30">
        <v>0.55000000000000004</v>
      </c>
      <c r="S27" s="30">
        <v>0.25</v>
      </c>
      <c r="T27" s="30">
        <v>8</v>
      </c>
      <c r="U27" s="30">
        <v>0.03</v>
      </c>
      <c r="V27" s="30">
        <v>0.4</v>
      </c>
      <c r="W27" s="30">
        <v>0.05</v>
      </c>
      <c r="X27" s="31">
        <v>2E-3</v>
      </c>
      <c r="Y27" s="31">
        <v>0.1</v>
      </c>
      <c r="Z27" s="31">
        <v>300</v>
      </c>
      <c r="AA27" s="31" t="s">
        <v>80</v>
      </c>
      <c r="AB27" s="31" t="s">
        <v>81</v>
      </c>
      <c r="AC27" s="31" t="s">
        <v>92</v>
      </c>
      <c r="AD27" s="29">
        <v>6.5</v>
      </c>
      <c r="AE27" s="29">
        <v>0</v>
      </c>
      <c r="AF27" s="29"/>
    </row>
    <row r="28" spans="1:32" x14ac:dyDescent="0.2">
      <c r="A28" s="29"/>
      <c r="B28"/>
      <c r="C28"/>
      <c r="D28"/>
      <c r="E28"/>
      <c r="F28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1"/>
      <c r="Y28" s="31"/>
      <c r="Z28" s="31"/>
      <c r="AA28" s="31"/>
      <c r="AB28" s="31"/>
      <c r="AC28" s="31"/>
      <c r="AD28" s="29"/>
      <c r="AE28" s="29"/>
    </row>
    <row r="29" spans="1:32" x14ac:dyDescent="0.2">
      <c r="A29" s="29"/>
      <c r="B29"/>
      <c r="C29"/>
      <c r="D29"/>
      <c r="E29"/>
      <c r="F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1"/>
      <c r="Y29" s="31"/>
      <c r="Z29" s="31"/>
      <c r="AA29" s="31"/>
      <c r="AB29" s="31"/>
      <c r="AC29" s="31"/>
      <c r="AD29" s="29"/>
      <c r="AE29" s="29"/>
    </row>
  </sheetData>
  <dataValidations count="3">
    <dataValidation type="list" allowBlank="1" showInputMessage="1" showErrorMessage="1" sqref="AA2:AA1048576" xr:uid="{9A36AB83-A9B3-4938-9CA6-DA258BBC10A6}">
      <formula1>"no, AC4A, ST4B, ST1"</formula1>
    </dataValidation>
    <dataValidation type="list" allowBlank="1" showInputMessage="1" showErrorMessage="1" sqref="AB2:AB1048576" xr:uid="{5E6A4FE2-45EE-4C58-A710-735FC058271F}">
      <formula1>"no, 2A"</formula1>
    </dataValidation>
    <dataValidation type="list" allowBlank="1" showInputMessage="1" showErrorMessage="1" sqref="AC2:AC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Q56"/>
  <sheetViews>
    <sheetView tabSelected="1" zoomScale="70" zoomScaleNormal="70" workbookViewId="0">
      <selection activeCell="E20" sqref="E20"/>
    </sheetView>
  </sheetViews>
  <sheetFormatPr defaultColWidth="8.7109375" defaultRowHeight="12.75" x14ac:dyDescent="0.2"/>
  <cols>
    <col min="1" max="6" width="8.7109375" style="2"/>
    <col min="11" max="14" width="8.7109375" style="2"/>
    <col min="15" max="16" width="8.7109375" style="53"/>
    <col min="17" max="17" width="19.7109375" style="2" bestFit="1" customWidth="1"/>
    <col min="18" max="16384" width="8.7109375" style="2"/>
  </cols>
  <sheetData>
    <row r="1" spans="1:17" ht="15" x14ac:dyDescent="0.2">
      <c r="A1" s="38" t="s">
        <v>23</v>
      </c>
      <c r="B1" s="38" t="s">
        <v>0</v>
      </c>
      <c r="C1" s="38" t="s">
        <v>69</v>
      </c>
      <c r="D1" s="38" t="s">
        <v>70</v>
      </c>
      <c r="E1" s="38" t="s">
        <v>58</v>
      </c>
      <c r="F1" s="38" t="s">
        <v>77</v>
      </c>
      <c r="G1" s="58" t="s">
        <v>25</v>
      </c>
      <c r="H1" s="58" t="s">
        <v>6</v>
      </c>
      <c r="I1" s="58" t="s">
        <v>71</v>
      </c>
      <c r="J1" s="58" t="s">
        <v>48</v>
      </c>
      <c r="K1" s="48" t="s">
        <v>3</v>
      </c>
      <c r="L1" s="49" t="s">
        <v>66</v>
      </c>
    </row>
    <row r="2" spans="1:17" x14ac:dyDescent="0.2">
      <c r="A2">
        <v>1</v>
      </c>
      <c r="B2">
        <v>12</v>
      </c>
      <c r="C2">
        <v>138</v>
      </c>
      <c r="D2">
        <v>7.0104793996639572</v>
      </c>
      <c r="E2">
        <v>1</v>
      </c>
      <c r="F2">
        <v>1</v>
      </c>
      <c r="G2">
        <v>0.1774470857472174</v>
      </c>
      <c r="H2">
        <v>4.7798113341535178E-2</v>
      </c>
      <c r="I2">
        <v>1.0494964989432669</v>
      </c>
      <c r="J2">
        <v>-18.743917599917271</v>
      </c>
      <c r="K2">
        <v>1</v>
      </c>
      <c r="L2" t="s">
        <v>68</v>
      </c>
    </row>
    <row r="3" spans="1:17" x14ac:dyDescent="0.2">
      <c r="A3">
        <v>2</v>
      </c>
      <c r="B3">
        <v>19</v>
      </c>
      <c r="C3">
        <v>138</v>
      </c>
      <c r="D3">
        <v>131.3568589687128</v>
      </c>
      <c r="E3">
        <v>1</v>
      </c>
      <c r="F3">
        <v>1</v>
      </c>
      <c r="G3">
        <v>1.3760354060612421</v>
      </c>
      <c r="H3">
        <v>0.1658625939083786</v>
      </c>
      <c r="I3">
        <v>0.97980964030781992</v>
      </c>
      <c r="J3">
        <v>-22.96507866682111</v>
      </c>
      <c r="K3">
        <v>1</v>
      </c>
      <c r="L3" t="s">
        <v>68</v>
      </c>
      <c r="Q3" s="54"/>
    </row>
    <row r="4" spans="1:17" x14ac:dyDescent="0.2">
      <c r="A4">
        <v>3</v>
      </c>
      <c r="B4">
        <v>31</v>
      </c>
      <c r="C4">
        <v>138</v>
      </c>
      <c r="D4">
        <v>164.42102581221249</v>
      </c>
      <c r="E4">
        <v>1</v>
      </c>
      <c r="F4">
        <v>1</v>
      </c>
      <c r="G4">
        <v>1.196602892945837</v>
      </c>
      <c r="H4">
        <v>0.1050394083530872</v>
      </c>
      <c r="I4">
        <v>0.99840552137521377</v>
      </c>
      <c r="J4">
        <v>-19.78997742770246</v>
      </c>
      <c r="K4">
        <v>1</v>
      </c>
      <c r="L4" t="s">
        <v>68</v>
      </c>
    </row>
    <row r="5" spans="1:17" x14ac:dyDescent="0.2">
      <c r="A5">
        <v>4</v>
      </c>
      <c r="B5">
        <v>32</v>
      </c>
      <c r="C5">
        <v>138</v>
      </c>
      <c r="D5">
        <v>791.16840524889801</v>
      </c>
      <c r="E5">
        <v>1</v>
      </c>
      <c r="F5">
        <v>1</v>
      </c>
      <c r="G5">
        <v>4.8264254812065843</v>
      </c>
      <c r="H5">
        <v>1.0538217551322631</v>
      </c>
      <c r="I5">
        <v>1.0345652860467101</v>
      </c>
      <c r="J5">
        <v>-15.720282581273141</v>
      </c>
      <c r="K5">
        <v>1</v>
      </c>
      <c r="L5" t="s">
        <v>68</v>
      </c>
    </row>
    <row r="6" spans="1:17" x14ac:dyDescent="0.2">
      <c r="A6">
        <v>5</v>
      </c>
      <c r="B6">
        <v>34</v>
      </c>
      <c r="C6">
        <v>138</v>
      </c>
      <c r="D6">
        <v>135.95755313568199</v>
      </c>
      <c r="E6">
        <v>1</v>
      </c>
      <c r="F6">
        <v>1</v>
      </c>
      <c r="G6">
        <v>1.1903434929311509</v>
      </c>
      <c r="H6">
        <v>5.2027991629647108E-2</v>
      </c>
      <c r="I6">
        <v>1.024434484514424</v>
      </c>
      <c r="J6">
        <v>-15.01188871735031</v>
      </c>
      <c r="K6">
        <v>1</v>
      </c>
      <c r="L6" t="s">
        <v>68</v>
      </c>
    </row>
    <row r="7" spans="1:17" x14ac:dyDescent="0.2">
      <c r="A7">
        <v>6</v>
      </c>
      <c r="B7">
        <v>36</v>
      </c>
      <c r="C7">
        <v>138</v>
      </c>
      <c r="D7">
        <v>62.631525384951352</v>
      </c>
      <c r="E7">
        <v>1</v>
      </c>
      <c r="F7">
        <v>1</v>
      </c>
      <c r="G7">
        <v>0.97088734719035097</v>
      </c>
      <c r="H7">
        <v>4.3909165047856351E-2</v>
      </c>
      <c r="I7">
        <v>1.0268264563990579</v>
      </c>
      <c r="J7">
        <v>-14.296731052209489</v>
      </c>
      <c r="K7">
        <v>1</v>
      </c>
      <c r="L7" t="s">
        <v>68</v>
      </c>
    </row>
    <row r="8" spans="1:17" x14ac:dyDescent="0.2">
      <c r="A8">
        <v>7</v>
      </c>
      <c r="B8">
        <v>40</v>
      </c>
      <c r="C8">
        <v>138</v>
      </c>
      <c r="D8">
        <v>99.999987567292223</v>
      </c>
      <c r="E8">
        <v>1</v>
      </c>
      <c r="F8">
        <v>1</v>
      </c>
      <c r="G8">
        <v>0.8733053733535947</v>
      </c>
      <c r="H8">
        <v>1.213858403058638E-2</v>
      </c>
      <c r="I8">
        <v>1.0185708120891741</v>
      </c>
      <c r="J8">
        <v>-13.362237792991079</v>
      </c>
      <c r="K8">
        <v>1</v>
      </c>
      <c r="L8" t="s">
        <v>68</v>
      </c>
    </row>
    <row r="9" spans="1:17" x14ac:dyDescent="0.2">
      <c r="A9">
        <v>8</v>
      </c>
      <c r="B9">
        <v>46</v>
      </c>
      <c r="C9">
        <v>138</v>
      </c>
      <c r="D9">
        <v>257.26315336739731</v>
      </c>
      <c r="E9">
        <v>1</v>
      </c>
      <c r="F9">
        <v>1</v>
      </c>
      <c r="G9">
        <v>1.9031724362090381</v>
      </c>
      <c r="H9">
        <v>3.3699192810450598E-2</v>
      </c>
      <c r="I9">
        <v>1.028121455550884</v>
      </c>
      <c r="J9">
        <v>-1.535353994696081</v>
      </c>
      <c r="K9">
        <v>1</v>
      </c>
      <c r="L9" t="s">
        <v>68</v>
      </c>
    </row>
    <row r="10" spans="1:17" x14ac:dyDescent="0.2">
      <c r="A10">
        <v>9</v>
      </c>
      <c r="B10">
        <v>49</v>
      </c>
      <c r="C10">
        <v>138</v>
      </c>
      <c r="D10">
        <v>369.44168259155612</v>
      </c>
      <c r="E10">
        <v>1</v>
      </c>
      <c r="F10">
        <v>1</v>
      </c>
      <c r="G10">
        <v>2.6856669670803792</v>
      </c>
      <c r="H10">
        <v>0.25159605192225848</v>
      </c>
      <c r="I10">
        <v>1.0216381635237171</v>
      </c>
      <c r="J10">
        <v>-5.7192854882188131</v>
      </c>
      <c r="K10">
        <v>1</v>
      </c>
      <c r="L10" t="s">
        <v>68</v>
      </c>
    </row>
    <row r="11" spans="1:17" x14ac:dyDescent="0.2">
      <c r="A11">
        <v>10</v>
      </c>
      <c r="B11">
        <v>54</v>
      </c>
      <c r="C11">
        <v>138</v>
      </c>
      <c r="D11">
        <v>278.38947344063882</v>
      </c>
      <c r="E11">
        <v>1</v>
      </c>
      <c r="F11">
        <v>1</v>
      </c>
      <c r="G11">
        <v>2.4505979257933048</v>
      </c>
      <c r="H11">
        <v>0.31324165441733343</v>
      </c>
      <c r="I11">
        <v>0.98701888761517842</v>
      </c>
      <c r="J11">
        <v>-9.4793331168900163</v>
      </c>
      <c r="K11">
        <v>1</v>
      </c>
      <c r="L11" t="s">
        <v>68</v>
      </c>
    </row>
    <row r="12" spans="1:17" x14ac:dyDescent="0.2">
      <c r="A12">
        <v>11</v>
      </c>
      <c r="B12">
        <v>59</v>
      </c>
      <c r="C12">
        <v>138</v>
      </c>
      <c r="D12">
        <v>31.78946723309215</v>
      </c>
      <c r="E12">
        <v>1</v>
      </c>
      <c r="F12">
        <v>1</v>
      </c>
      <c r="G12">
        <v>0.35087557327724739</v>
      </c>
      <c r="H12">
        <v>3.8389311901030447E-2</v>
      </c>
      <c r="I12">
        <v>1.022016725083408</v>
      </c>
      <c r="J12">
        <v>-5.7205162304770436</v>
      </c>
      <c r="K12">
        <v>1</v>
      </c>
      <c r="L12" t="s">
        <v>68</v>
      </c>
    </row>
    <row r="13" spans="1:17" x14ac:dyDescent="0.2">
      <c r="A13">
        <v>12</v>
      </c>
      <c r="B13">
        <v>65</v>
      </c>
      <c r="C13">
        <v>345</v>
      </c>
      <c r="D13">
        <v>11.534584108285859</v>
      </c>
      <c r="E13">
        <v>2</v>
      </c>
      <c r="F13">
        <v>1</v>
      </c>
      <c r="G13">
        <v>7.057756158323418E-2</v>
      </c>
      <c r="H13">
        <v>2.9468226693975291E-3</v>
      </c>
      <c r="I13">
        <v>1.038177813942041</v>
      </c>
      <c r="J13">
        <v>-4.4665703937090804</v>
      </c>
      <c r="K13">
        <v>1</v>
      </c>
      <c r="L13" t="s">
        <v>68</v>
      </c>
    </row>
    <row r="14" spans="1:17" x14ac:dyDescent="0.2">
      <c r="A14">
        <v>13</v>
      </c>
      <c r="B14">
        <v>70</v>
      </c>
      <c r="C14">
        <v>138</v>
      </c>
      <c r="D14">
        <v>3.9789473647754172</v>
      </c>
      <c r="E14">
        <v>1</v>
      </c>
      <c r="F14">
        <v>1</v>
      </c>
      <c r="G14">
        <v>8.2177815521179448E-2</v>
      </c>
      <c r="H14">
        <v>3.6814946380453501E-3</v>
      </c>
      <c r="I14">
        <v>1.003431770920024</v>
      </c>
      <c r="J14">
        <v>-2.437855444651277</v>
      </c>
      <c r="K14">
        <v>1</v>
      </c>
      <c r="L14" t="s">
        <v>68</v>
      </c>
    </row>
    <row r="15" spans="1:17" x14ac:dyDescent="0.2">
      <c r="A15">
        <v>14</v>
      </c>
      <c r="B15">
        <v>72</v>
      </c>
      <c r="C15">
        <v>138</v>
      </c>
      <c r="D15">
        <v>30.35789473673151</v>
      </c>
      <c r="E15">
        <v>1</v>
      </c>
      <c r="F15">
        <v>1</v>
      </c>
      <c r="G15">
        <v>0.42578379049109483</v>
      </c>
      <c r="H15">
        <v>1.2309338899667011E-3</v>
      </c>
      <c r="I15">
        <v>1.0416766910000901</v>
      </c>
      <c r="J15">
        <v>3.3576357995765722</v>
      </c>
      <c r="K15">
        <v>1</v>
      </c>
      <c r="L15" t="s">
        <v>68</v>
      </c>
    </row>
    <row r="16" spans="1:17" x14ac:dyDescent="0.2">
      <c r="A16">
        <v>15</v>
      </c>
      <c r="B16">
        <v>73</v>
      </c>
      <c r="C16">
        <v>138</v>
      </c>
      <c r="D16">
        <v>26.38942383351834</v>
      </c>
      <c r="E16">
        <v>1</v>
      </c>
      <c r="F16">
        <v>1</v>
      </c>
      <c r="G16">
        <v>0.40534417178747528</v>
      </c>
      <c r="H16">
        <v>1.524298584288231E-3</v>
      </c>
      <c r="I16">
        <v>1.021948794885799</v>
      </c>
      <c r="J16">
        <v>2.0174984451685369</v>
      </c>
      <c r="K16">
        <v>1</v>
      </c>
      <c r="L16" t="s">
        <v>68</v>
      </c>
    </row>
    <row r="17" spans="1:12" x14ac:dyDescent="0.2">
      <c r="A17">
        <v>16</v>
      </c>
      <c r="B17">
        <v>76</v>
      </c>
      <c r="C17">
        <v>138</v>
      </c>
      <c r="D17">
        <v>26.315760178988821</v>
      </c>
      <c r="E17">
        <v>1</v>
      </c>
      <c r="F17">
        <v>1</v>
      </c>
      <c r="G17">
        <v>0.34246408519307359</v>
      </c>
      <c r="H17">
        <v>3.0815046047886568E-2</v>
      </c>
      <c r="I17">
        <v>1.0321895998935131</v>
      </c>
      <c r="J17">
        <v>2.7236349756898739</v>
      </c>
      <c r="K17">
        <v>1</v>
      </c>
      <c r="L17" t="s">
        <v>68</v>
      </c>
    </row>
    <row r="18" spans="1:12" x14ac:dyDescent="0.2">
      <c r="A18">
        <v>17</v>
      </c>
      <c r="B18">
        <v>77</v>
      </c>
      <c r="C18">
        <v>138</v>
      </c>
      <c r="D18">
        <v>3.870293107724283</v>
      </c>
      <c r="E18">
        <v>1</v>
      </c>
      <c r="F18">
        <v>1</v>
      </c>
      <c r="G18">
        <v>5.2979146528570997E-2</v>
      </c>
      <c r="H18">
        <v>9.8720761852430037E-3</v>
      </c>
      <c r="I18">
        <v>1.041936100330741</v>
      </c>
      <c r="J18">
        <v>-5.0195446926311442E-2</v>
      </c>
      <c r="K18">
        <v>1</v>
      </c>
      <c r="L18" t="s">
        <v>68</v>
      </c>
    </row>
    <row r="19" spans="1:12" x14ac:dyDescent="0.2">
      <c r="A19">
        <v>18</v>
      </c>
      <c r="B19">
        <v>80</v>
      </c>
      <c r="C19">
        <v>138</v>
      </c>
      <c r="D19">
        <v>39.452613117732788</v>
      </c>
      <c r="E19">
        <v>1</v>
      </c>
      <c r="F19">
        <v>1</v>
      </c>
      <c r="G19">
        <v>0.43035741084221318</v>
      </c>
      <c r="H19">
        <v>8.1435746388671265E-2</v>
      </c>
      <c r="I19">
        <v>1.047744917163979</v>
      </c>
      <c r="J19">
        <v>-4.6705305367108325E-16</v>
      </c>
      <c r="K19">
        <v>0</v>
      </c>
      <c r="L19" t="s">
        <v>68</v>
      </c>
    </row>
    <row r="20" spans="1:12" x14ac:dyDescent="0.2">
      <c r="A20">
        <v>19</v>
      </c>
      <c r="B20">
        <v>85</v>
      </c>
      <c r="C20">
        <v>138</v>
      </c>
      <c r="D20">
        <v>52.420502730223753</v>
      </c>
      <c r="E20">
        <v>1</v>
      </c>
      <c r="F20">
        <v>1</v>
      </c>
      <c r="G20">
        <v>0.78406421966377682</v>
      </c>
      <c r="H20">
        <v>0.1704649579888243</v>
      </c>
      <c r="I20">
        <v>0.979012988016702</v>
      </c>
      <c r="J20">
        <v>-4.9142195241020232</v>
      </c>
      <c r="K20">
        <v>1</v>
      </c>
      <c r="L20" t="s">
        <v>68</v>
      </c>
    </row>
    <row r="21" spans="1:12" x14ac:dyDescent="0.2">
      <c r="A21">
        <v>20</v>
      </c>
      <c r="B21">
        <v>89</v>
      </c>
      <c r="C21">
        <v>138</v>
      </c>
      <c r="D21">
        <v>137.5789376494331</v>
      </c>
      <c r="E21">
        <v>1</v>
      </c>
      <c r="F21">
        <v>1</v>
      </c>
      <c r="G21">
        <v>1.100075357766108</v>
      </c>
      <c r="H21">
        <v>0.28412542059893742</v>
      </c>
      <c r="I21">
        <v>1.060326679675462</v>
      </c>
      <c r="J21">
        <v>5.0979824555130113</v>
      </c>
      <c r="K21">
        <v>1</v>
      </c>
      <c r="L21" t="s">
        <v>68</v>
      </c>
    </row>
    <row r="22" spans="1:12" x14ac:dyDescent="0.2">
      <c r="A22">
        <v>21</v>
      </c>
      <c r="B22">
        <v>90</v>
      </c>
      <c r="C22">
        <v>138</v>
      </c>
      <c r="D22">
        <v>535.47350504303893</v>
      </c>
      <c r="E22">
        <v>1</v>
      </c>
      <c r="F22">
        <v>1</v>
      </c>
      <c r="G22">
        <v>1.862753249823738</v>
      </c>
      <c r="H22">
        <v>0.31238653559107049</v>
      </c>
      <c r="I22">
        <v>1.0481740465500491</v>
      </c>
      <c r="J22">
        <v>3.4966841753159992</v>
      </c>
      <c r="K22">
        <v>1</v>
      </c>
      <c r="L22" t="s">
        <v>68</v>
      </c>
    </row>
    <row r="23" spans="1:12" x14ac:dyDescent="0.2">
      <c r="A23">
        <v>22</v>
      </c>
      <c r="B23">
        <v>92</v>
      </c>
      <c r="C23">
        <v>138</v>
      </c>
      <c r="D23">
        <v>546.58911980701691</v>
      </c>
      <c r="E23">
        <v>1</v>
      </c>
      <c r="F23">
        <v>1</v>
      </c>
      <c r="G23">
        <v>3.2448919326286578</v>
      </c>
      <c r="H23">
        <v>0.79050132879206481</v>
      </c>
      <c r="I23">
        <v>1.052036438192276</v>
      </c>
      <c r="J23">
        <v>3.678268180153017</v>
      </c>
      <c r="K23">
        <v>1</v>
      </c>
      <c r="L23" t="s">
        <v>68</v>
      </c>
    </row>
    <row r="24" spans="1:12" x14ac:dyDescent="0.2">
      <c r="A24">
        <v>23</v>
      </c>
      <c r="B24">
        <v>100</v>
      </c>
      <c r="C24">
        <v>138</v>
      </c>
      <c r="D24">
        <v>531.56842098038646</v>
      </c>
      <c r="E24">
        <v>1</v>
      </c>
      <c r="F24">
        <v>1</v>
      </c>
      <c r="G24">
        <v>1.5897275212202491</v>
      </c>
      <c r="H24">
        <v>0.37682614737183961</v>
      </c>
      <c r="I24">
        <v>1.0282422350664731</v>
      </c>
      <c r="J24">
        <v>2.055197707815108</v>
      </c>
      <c r="K24">
        <v>1</v>
      </c>
      <c r="L24" t="s">
        <v>68</v>
      </c>
    </row>
    <row r="25" spans="1:12" x14ac:dyDescent="0.2">
      <c r="A25">
        <v>24</v>
      </c>
      <c r="B25">
        <v>105</v>
      </c>
      <c r="C25">
        <v>138</v>
      </c>
      <c r="D25">
        <v>288.92625737741548</v>
      </c>
      <c r="E25">
        <v>1</v>
      </c>
      <c r="F25">
        <v>1</v>
      </c>
      <c r="G25">
        <v>2.091881267251297</v>
      </c>
      <c r="H25">
        <v>0.32138258571416362</v>
      </c>
      <c r="I25">
        <v>0.99265881522786348</v>
      </c>
      <c r="J25">
        <v>3.1395190282107368</v>
      </c>
      <c r="K25">
        <v>1</v>
      </c>
      <c r="L25" t="s">
        <v>68</v>
      </c>
    </row>
    <row r="26" spans="1:12" x14ac:dyDescent="0.2">
      <c r="A26">
        <v>25</v>
      </c>
      <c r="B26">
        <v>107</v>
      </c>
      <c r="C26">
        <v>138</v>
      </c>
      <c r="D26">
        <v>314.73672966568972</v>
      </c>
      <c r="E26">
        <v>1</v>
      </c>
      <c r="F26">
        <v>1</v>
      </c>
      <c r="G26">
        <v>1.229389555837654</v>
      </c>
      <c r="H26">
        <v>0.18383787004661381</v>
      </c>
      <c r="I26">
        <v>1.050578933641614</v>
      </c>
      <c r="J26">
        <v>12.90807295821287</v>
      </c>
      <c r="K26">
        <v>1</v>
      </c>
      <c r="L26" t="s">
        <v>68</v>
      </c>
    </row>
    <row r="27" spans="1:12" x14ac:dyDescent="0.2">
      <c r="A27">
        <v>26</v>
      </c>
      <c r="B27">
        <v>110</v>
      </c>
      <c r="C27">
        <v>138</v>
      </c>
      <c r="D27">
        <v>267.26211783044801</v>
      </c>
      <c r="E27">
        <v>1</v>
      </c>
      <c r="F27">
        <v>1</v>
      </c>
      <c r="G27">
        <v>1.5725116011861571</v>
      </c>
      <c r="H27">
        <v>0.18860788351551469</v>
      </c>
      <c r="I27">
        <v>0.99821636097915534</v>
      </c>
      <c r="J27">
        <v>4.6570663370888026</v>
      </c>
      <c r="K27">
        <v>1</v>
      </c>
      <c r="L27" t="s">
        <v>68</v>
      </c>
    </row>
    <row r="28" spans="1:12" x14ac:dyDescent="0.2">
      <c r="A28">
        <v>27</v>
      </c>
      <c r="B28">
        <v>112</v>
      </c>
      <c r="C28">
        <v>138</v>
      </c>
      <c r="D28">
        <v>185.05255707119429</v>
      </c>
      <c r="E28">
        <v>1</v>
      </c>
      <c r="F28">
        <v>1</v>
      </c>
      <c r="G28">
        <v>1.3676150826414051</v>
      </c>
      <c r="H28">
        <v>0.16822365929166161</v>
      </c>
      <c r="I28">
        <v>1.0157561587748429</v>
      </c>
      <c r="J28">
        <v>7.0159130848842368</v>
      </c>
      <c r="K28">
        <v>1</v>
      </c>
      <c r="L28" t="s">
        <v>68</v>
      </c>
    </row>
    <row r="29" spans="1:12" x14ac:dyDescent="0.2">
      <c r="A29">
        <v>28</v>
      </c>
      <c r="B29">
        <v>113</v>
      </c>
      <c r="C29">
        <v>138</v>
      </c>
      <c r="D29">
        <v>16.273534455988148</v>
      </c>
      <c r="E29">
        <v>1</v>
      </c>
      <c r="F29">
        <v>1</v>
      </c>
      <c r="G29">
        <v>0.25110791905107283</v>
      </c>
      <c r="H29">
        <v>3.6980434386002833E-2</v>
      </c>
      <c r="I29">
        <v>1.057108754514599</v>
      </c>
      <c r="J29">
        <v>-15.100494662586421</v>
      </c>
      <c r="K29">
        <v>1</v>
      </c>
      <c r="L29" t="s">
        <v>68</v>
      </c>
    </row>
    <row r="30" spans="1:12" x14ac:dyDescent="0.2">
      <c r="A30" s="29"/>
      <c r="B30"/>
      <c r="C30"/>
      <c r="D30"/>
      <c r="E30"/>
      <c r="F30"/>
    </row>
    <row r="31" spans="1:12" x14ac:dyDescent="0.2">
      <c r="A31" s="29"/>
      <c r="B31"/>
      <c r="C31"/>
      <c r="D31"/>
      <c r="E31"/>
      <c r="F31"/>
    </row>
    <row r="32" spans="1:12" x14ac:dyDescent="0.2">
      <c r="A32" s="29"/>
      <c r="B32"/>
      <c r="C32"/>
      <c r="D32"/>
      <c r="E32"/>
      <c r="F32"/>
    </row>
    <row r="33" spans="1:6" x14ac:dyDescent="0.2">
      <c r="A33" s="29"/>
      <c r="B33"/>
      <c r="C33"/>
      <c r="D33"/>
      <c r="E33"/>
      <c r="F33"/>
    </row>
    <row r="34" spans="1:6" x14ac:dyDescent="0.2">
      <c r="A34" s="29"/>
      <c r="B34"/>
      <c r="C34"/>
      <c r="D34"/>
      <c r="E34"/>
      <c r="F34"/>
    </row>
    <row r="35" spans="1:6" x14ac:dyDescent="0.2">
      <c r="A35" s="29"/>
      <c r="B35"/>
      <c r="C35"/>
      <c r="D35"/>
      <c r="E35"/>
      <c r="F35"/>
    </row>
    <row r="36" spans="1:6" x14ac:dyDescent="0.2">
      <c r="A36" s="29"/>
      <c r="B36"/>
      <c r="C36"/>
      <c r="D36"/>
      <c r="E36"/>
      <c r="F36"/>
    </row>
    <row r="37" spans="1:6" x14ac:dyDescent="0.2">
      <c r="A37" s="29"/>
      <c r="B37"/>
      <c r="C37"/>
      <c r="D37"/>
      <c r="E37"/>
      <c r="F37"/>
    </row>
    <row r="38" spans="1:6" x14ac:dyDescent="0.2">
      <c r="A38" s="29"/>
      <c r="B38"/>
      <c r="C38"/>
      <c r="D38"/>
      <c r="E38"/>
      <c r="F38"/>
    </row>
    <row r="39" spans="1:6" x14ac:dyDescent="0.2">
      <c r="A39" s="29"/>
      <c r="B39"/>
      <c r="C39"/>
      <c r="D39"/>
      <c r="E39"/>
      <c r="F39"/>
    </row>
    <row r="40" spans="1:6" x14ac:dyDescent="0.2">
      <c r="A40" s="29"/>
      <c r="B40"/>
      <c r="C40"/>
      <c r="D40"/>
      <c r="E40"/>
      <c r="F40"/>
    </row>
    <row r="41" spans="1:6" x14ac:dyDescent="0.2">
      <c r="A41" s="29"/>
      <c r="B41"/>
      <c r="C41"/>
      <c r="D41"/>
      <c r="E41"/>
      <c r="F41"/>
    </row>
    <row r="42" spans="1:6" x14ac:dyDescent="0.2">
      <c r="A42" s="29"/>
      <c r="B42"/>
      <c r="C42"/>
      <c r="D42"/>
      <c r="E42"/>
      <c r="F42"/>
    </row>
    <row r="43" spans="1:6" x14ac:dyDescent="0.2">
      <c r="A43" s="29"/>
      <c r="B43"/>
      <c r="C43"/>
      <c r="D43"/>
      <c r="E43"/>
      <c r="F43"/>
    </row>
    <row r="44" spans="1:6" x14ac:dyDescent="0.2">
      <c r="A44" s="29"/>
      <c r="B44"/>
      <c r="C44"/>
      <c r="D44"/>
      <c r="E44"/>
      <c r="F44"/>
    </row>
    <row r="45" spans="1:6" x14ac:dyDescent="0.2">
      <c r="A45" s="29"/>
      <c r="B45"/>
      <c r="C45"/>
      <c r="D45"/>
      <c r="E45"/>
      <c r="F45"/>
    </row>
    <row r="46" spans="1:6" x14ac:dyDescent="0.2">
      <c r="A46" s="29"/>
      <c r="B46"/>
      <c r="C46"/>
      <c r="D46"/>
      <c r="E46"/>
      <c r="F46"/>
    </row>
    <row r="47" spans="1:6" x14ac:dyDescent="0.2">
      <c r="A47" s="29"/>
      <c r="B47"/>
      <c r="C47"/>
      <c r="D47"/>
      <c r="E47"/>
      <c r="F47"/>
    </row>
    <row r="48" spans="1:6" x14ac:dyDescent="0.2">
      <c r="A48" s="29"/>
      <c r="B48"/>
      <c r="C48"/>
      <c r="D48"/>
      <c r="E48"/>
      <c r="F48"/>
    </row>
    <row r="49" spans="1:6" x14ac:dyDescent="0.2">
      <c r="A49" s="29"/>
      <c r="B49"/>
      <c r="C49"/>
      <c r="D49"/>
      <c r="E49"/>
      <c r="F49"/>
    </row>
    <row r="50" spans="1:6" x14ac:dyDescent="0.2">
      <c r="A50" s="29"/>
      <c r="B50"/>
      <c r="C50"/>
      <c r="D50"/>
      <c r="E50"/>
      <c r="F50"/>
    </row>
    <row r="51" spans="1:6" x14ac:dyDescent="0.2">
      <c r="A51" s="29"/>
      <c r="B51"/>
      <c r="C51"/>
      <c r="D51"/>
      <c r="E51"/>
      <c r="F51"/>
    </row>
    <row r="52" spans="1:6" x14ac:dyDescent="0.2">
      <c r="A52" s="29"/>
      <c r="B52"/>
      <c r="C52"/>
      <c r="D52"/>
      <c r="E52"/>
      <c r="F52"/>
    </row>
    <row r="53" spans="1:6" x14ac:dyDescent="0.2">
      <c r="A53" s="29"/>
      <c r="B53"/>
      <c r="C53"/>
      <c r="D53"/>
      <c r="E53"/>
      <c r="F53"/>
    </row>
    <row r="54" spans="1:6" x14ac:dyDescent="0.2">
      <c r="A54" s="29"/>
      <c r="B54"/>
      <c r="C54"/>
      <c r="D54"/>
      <c r="E54"/>
      <c r="F54"/>
    </row>
    <row r="55" spans="1:6" x14ac:dyDescent="0.2">
      <c r="A55" s="29"/>
      <c r="B55"/>
      <c r="C55"/>
      <c r="D55"/>
      <c r="E55"/>
      <c r="F55"/>
    </row>
    <row r="56" spans="1:6" x14ac:dyDescent="0.2">
      <c r="A56" s="29"/>
      <c r="B56"/>
      <c r="C56"/>
      <c r="D56"/>
      <c r="E56"/>
      <c r="F56"/>
    </row>
  </sheetData>
  <dataValidations count="1">
    <dataValidation type="list" allowBlank="1" showInputMessage="1" showErrorMessage="1" sqref="L2:L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M4"/>
  <sheetViews>
    <sheetView workbookViewId="0">
      <selection activeCell="M2" sqref="M2:M3"/>
    </sheetView>
  </sheetViews>
  <sheetFormatPr defaultRowHeight="12.75" x14ac:dyDescent="0.2"/>
  <sheetData>
    <row r="1" spans="1:13" x14ac:dyDescent="0.2">
      <c r="A1" s="2" t="s">
        <v>23</v>
      </c>
      <c r="B1" s="2" t="s">
        <v>0</v>
      </c>
      <c r="C1" s="2" t="s">
        <v>24</v>
      </c>
      <c r="D1" s="2" t="s">
        <v>37</v>
      </c>
      <c r="E1" s="2" t="s">
        <v>69</v>
      </c>
      <c r="F1" s="2" t="s">
        <v>70</v>
      </c>
      <c r="G1" s="2" t="s">
        <v>77</v>
      </c>
      <c r="H1" s="2" t="s">
        <v>25</v>
      </c>
      <c r="I1" s="2" t="s">
        <v>6</v>
      </c>
      <c r="J1" s="2" t="s">
        <v>71</v>
      </c>
      <c r="K1" s="2" t="s">
        <v>48</v>
      </c>
      <c r="L1" s="2" t="s">
        <v>3</v>
      </c>
      <c r="M1" s="2" t="s">
        <v>66</v>
      </c>
    </row>
    <row r="2" spans="1:13" x14ac:dyDescent="0.2">
      <c r="A2" s="2"/>
      <c r="B2" s="2"/>
      <c r="C2" s="2"/>
      <c r="D2" s="2"/>
      <c r="E2" s="14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38</v>
      </c>
      <c r="J1" s="2" t="s">
        <v>3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8" spans="1:19" x14ac:dyDescent="0.2">
      <c r="K8" s="1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7109375" defaultRowHeight="12.75" x14ac:dyDescent="0.2"/>
  <cols>
    <col min="1" max="16384" width="8.7109375" style="1"/>
  </cols>
  <sheetData>
    <row r="1" spans="1:14" s="20" customFormat="1" x14ac:dyDescent="0.2">
      <c r="A1" s="32" t="s">
        <v>23</v>
      </c>
      <c r="B1" s="32" t="s">
        <v>0</v>
      </c>
      <c r="C1" s="32" t="s">
        <v>45</v>
      </c>
      <c r="D1" s="32" t="s">
        <v>70</v>
      </c>
      <c r="E1" s="32" t="s">
        <v>58</v>
      </c>
      <c r="F1" s="32" t="s">
        <v>77</v>
      </c>
      <c r="G1" s="33" t="s">
        <v>25</v>
      </c>
      <c r="H1" s="33" t="s">
        <v>6</v>
      </c>
      <c r="I1" s="33" t="s">
        <v>71</v>
      </c>
      <c r="J1" s="33" t="s">
        <v>48</v>
      </c>
      <c r="K1" s="33" t="s">
        <v>3</v>
      </c>
      <c r="L1" s="34" t="s">
        <v>63</v>
      </c>
      <c r="M1" s="35" t="s">
        <v>64</v>
      </c>
    </row>
    <row r="2" spans="1:14" s="31" customForma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4" s="31" customForma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4" s="31" customForma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4" s="31" customFormat="1" x14ac:dyDescent="0.2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4" s="31" customFormat="1" x14ac:dyDescent="0.2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4" s="31" customForma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4" s="31" customFormat="1" x14ac:dyDescent="0.2"/>
    <row r="9" spans="1:14" s="31" customFormat="1" x14ac:dyDescent="0.2"/>
    <row r="10" spans="1:14" s="31" customFormat="1" x14ac:dyDescent="0.2"/>
    <row r="11" spans="1:14" s="31" customFormat="1" x14ac:dyDescent="0.2">
      <c r="K11" s="36"/>
      <c r="L11" s="36"/>
      <c r="M11" s="36"/>
      <c r="N11" s="36"/>
    </row>
    <row r="12" spans="1:14" s="31" customFormat="1" x14ac:dyDescent="0.2">
      <c r="K12" s="36"/>
      <c r="L12" s="36"/>
      <c r="M12" s="36"/>
      <c r="N12" s="36"/>
    </row>
    <row r="13" spans="1:14" s="31" customFormat="1" x14ac:dyDescent="0.2">
      <c r="K13" s="36"/>
      <c r="L13" s="36"/>
      <c r="M13" s="36"/>
      <c r="N13" s="36"/>
    </row>
    <row r="14" spans="1:14" s="31" customFormat="1" x14ac:dyDescent="0.2"/>
    <row r="15" spans="1:14" s="31" customFormat="1" x14ac:dyDescent="0.2"/>
    <row r="16" spans="1:14" s="31" customFormat="1" x14ac:dyDescent="0.2"/>
    <row r="17" s="31" customFormat="1" x14ac:dyDescent="0.2"/>
    <row r="18" s="31" customFormat="1" x14ac:dyDescent="0.2"/>
    <row r="19" s="31" customFormat="1" x14ac:dyDescent="0.2"/>
    <row r="20" s="31" customFormat="1" x14ac:dyDescent="0.2"/>
    <row r="21" s="31" customFormat="1" x14ac:dyDescent="0.2"/>
    <row r="22" s="31" customFormat="1" x14ac:dyDescent="0.2"/>
    <row r="23" s="31" customFormat="1" x14ac:dyDescent="0.2"/>
    <row r="24" s="31" customFormat="1" x14ac:dyDescent="0.2"/>
    <row r="25" s="31" customFormat="1" x14ac:dyDescent="0.2"/>
    <row r="26" s="31" customFormat="1" x14ac:dyDescent="0.2"/>
    <row r="27" s="31" customFormat="1" x14ac:dyDescent="0.2"/>
    <row r="28" s="31" customFormat="1" x14ac:dyDescent="0.2"/>
    <row r="29" s="31" customFormat="1" x14ac:dyDescent="0.2"/>
    <row r="30" s="31" customFormat="1" x14ac:dyDescent="0.2"/>
    <row r="31" s="31" customFormat="1" x14ac:dyDescent="0.2"/>
    <row r="32" s="31" customFormat="1" x14ac:dyDescent="0.2"/>
    <row r="33" s="31" customFormat="1" x14ac:dyDescent="0.2"/>
    <row r="34" s="31" customFormat="1" x14ac:dyDescent="0.2"/>
    <row r="35" s="31" customFormat="1" x14ac:dyDescent="0.2"/>
    <row r="36" s="31" customFormat="1" x14ac:dyDescent="0.2"/>
    <row r="37" s="31" customFormat="1" x14ac:dyDescent="0.2"/>
    <row r="38" s="31" customFormat="1" x14ac:dyDescent="0.2"/>
    <row r="39" s="31" customFormat="1" x14ac:dyDescent="0.2"/>
    <row r="40" s="31" customFormat="1" x14ac:dyDescent="0.2"/>
    <row r="41" s="31" customFormat="1" x14ac:dyDescent="0.2"/>
    <row r="42" s="31" customFormat="1" x14ac:dyDescent="0.2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4"/>
  <sheetViews>
    <sheetView workbookViewId="0">
      <selection activeCell="B1" sqref="B1:C1048576"/>
    </sheetView>
  </sheetViews>
  <sheetFormatPr defaultColWidth="8.7109375" defaultRowHeight="12.75" x14ac:dyDescent="0.2"/>
  <cols>
    <col min="1" max="1" width="8.7109375" style="4"/>
    <col min="4" max="4" width="8.7109375" style="4"/>
    <col min="5" max="5" width="8.7109375" style="52"/>
    <col min="6" max="6" width="18.7109375" style="52" bestFit="1" customWidth="1"/>
    <col min="7" max="7" width="21.42578125" style="52" bestFit="1" customWidth="1"/>
    <col min="8" max="16384" width="8.7109375" style="4"/>
  </cols>
  <sheetData>
    <row r="1" spans="1:7" s="19" customFormat="1" ht="15" x14ac:dyDescent="0.2">
      <c r="A1" s="33" t="s">
        <v>46</v>
      </c>
      <c r="B1" s="58" t="s">
        <v>47</v>
      </c>
      <c r="C1" s="58" t="s">
        <v>48</v>
      </c>
      <c r="E1" s="50"/>
      <c r="F1" s="50"/>
      <c r="G1" s="50"/>
    </row>
    <row r="2" spans="1:7" s="29" customFormat="1" x14ac:dyDescent="0.2">
      <c r="A2">
        <v>1</v>
      </c>
      <c r="B2">
        <v>0.95569568898936763</v>
      </c>
      <c r="C2">
        <v>-28.090344241652179</v>
      </c>
      <c r="E2" s="51"/>
      <c r="F2" s="51"/>
      <c r="G2" s="51"/>
    </row>
    <row r="3" spans="1:7" s="29" customFormat="1" x14ac:dyDescent="0.2">
      <c r="A3">
        <v>2</v>
      </c>
      <c r="B3">
        <v>1.000738163688188</v>
      </c>
      <c r="C3">
        <v>-23.214068406846081</v>
      </c>
      <c r="E3" s="51"/>
      <c r="F3" s="51"/>
      <c r="G3" s="51"/>
    </row>
    <row r="4" spans="1:7" s="29" customFormat="1" x14ac:dyDescent="0.2">
      <c r="A4">
        <v>3</v>
      </c>
      <c r="B4">
        <v>0.96871515629169802</v>
      </c>
      <c r="C4">
        <v>-26.807376456504709</v>
      </c>
      <c r="E4" s="51"/>
      <c r="F4" s="51"/>
      <c r="G4" s="51"/>
    </row>
    <row r="5" spans="1:7" s="29" customFormat="1" x14ac:dyDescent="0.2">
      <c r="A5">
        <v>4</v>
      </c>
      <c r="B5">
        <v>1.0051049714653191</v>
      </c>
      <c r="C5">
        <v>-23.117816280192311</v>
      </c>
      <c r="E5" s="51"/>
      <c r="F5" s="51"/>
      <c r="G5" s="51"/>
    </row>
    <row r="6" spans="1:7" s="29" customFormat="1" x14ac:dyDescent="0.2">
      <c r="A6">
        <v>5</v>
      </c>
      <c r="B6">
        <v>1.006842328831528</v>
      </c>
      <c r="C6">
        <v>-22.898671713780381</v>
      </c>
      <c r="E6" s="51"/>
      <c r="F6" s="51"/>
      <c r="G6" s="51"/>
    </row>
    <row r="7" spans="1:7" s="29" customFormat="1" x14ac:dyDescent="0.2">
      <c r="A7">
        <v>6</v>
      </c>
      <c r="B7">
        <v>1.0062102101308379</v>
      </c>
      <c r="C7">
        <v>-23.277460019899831</v>
      </c>
      <c r="E7" s="51"/>
      <c r="F7" s="51"/>
      <c r="G7" s="51"/>
    </row>
    <row r="8" spans="1:7" s="29" customFormat="1" x14ac:dyDescent="0.2">
      <c r="A8">
        <v>7</v>
      </c>
      <c r="B8">
        <v>1.018433362943117</v>
      </c>
      <c r="C8">
        <v>-21.852658453586219</v>
      </c>
      <c r="E8" s="51"/>
      <c r="F8" s="51"/>
      <c r="G8" s="51"/>
    </row>
    <row r="9" spans="1:7" s="29" customFormat="1" x14ac:dyDescent="0.2">
      <c r="A9">
        <v>8</v>
      </c>
      <c r="B9">
        <v>0.97754043439750116</v>
      </c>
      <c r="C9">
        <v>-22.892755190024701</v>
      </c>
      <c r="E9" s="51"/>
      <c r="F9" s="51"/>
      <c r="G9" s="51"/>
    </row>
    <row r="10" spans="1:7" s="29" customFormat="1" x14ac:dyDescent="0.2">
      <c r="A10">
        <v>11</v>
      </c>
      <c r="B10">
        <v>1.015036740082115</v>
      </c>
      <c r="C10">
        <v>-21.996603709525431</v>
      </c>
      <c r="E10" s="51"/>
      <c r="F10" s="51"/>
      <c r="G10" s="51"/>
    </row>
    <row r="11" spans="1:7" s="29" customFormat="1" x14ac:dyDescent="0.2">
      <c r="A11">
        <v>12</v>
      </c>
      <c r="B11">
        <v>1.0494964989432669</v>
      </c>
      <c r="C11">
        <v>-18.743917599917271</v>
      </c>
      <c r="E11" s="51"/>
      <c r="F11" s="51"/>
      <c r="G11" s="51"/>
    </row>
    <row r="12" spans="1:7" s="29" customFormat="1" x14ac:dyDescent="0.2">
      <c r="A12">
        <v>13</v>
      </c>
      <c r="B12">
        <v>0.9811887647448988</v>
      </c>
      <c r="C12">
        <v>-25.225999914954301</v>
      </c>
      <c r="E12" s="51"/>
      <c r="F12" s="51"/>
      <c r="G12" s="51"/>
    </row>
    <row r="13" spans="1:7" s="29" customFormat="1" x14ac:dyDescent="0.2">
      <c r="A13">
        <v>14</v>
      </c>
      <c r="B13">
        <v>1.0223286077481819</v>
      </c>
      <c r="C13">
        <v>-21.017042871336901</v>
      </c>
      <c r="E13" s="51"/>
      <c r="F13" s="51"/>
      <c r="G13" s="51"/>
    </row>
    <row r="14" spans="1:7" s="29" customFormat="1" x14ac:dyDescent="0.2">
      <c r="A14">
        <v>15</v>
      </c>
      <c r="B14">
        <v>0.98054824737115875</v>
      </c>
      <c r="C14">
        <v>-23.63453923055658</v>
      </c>
      <c r="E14" s="51"/>
      <c r="F14" s="51"/>
      <c r="G14" s="51"/>
    </row>
    <row r="15" spans="1:7" s="29" customFormat="1" x14ac:dyDescent="0.2">
      <c r="A15">
        <v>16</v>
      </c>
      <c r="B15">
        <v>1.0251616253828431</v>
      </c>
      <c r="C15">
        <v>-21.052546094826528</v>
      </c>
      <c r="E15" s="51"/>
      <c r="F15" s="51"/>
      <c r="G15" s="51"/>
    </row>
    <row r="16" spans="1:7" s="29" customFormat="1" x14ac:dyDescent="0.2">
      <c r="A16">
        <v>17</v>
      </c>
      <c r="B16">
        <v>1.0228515605771971</v>
      </c>
      <c r="C16">
        <v>-19.75075656928966</v>
      </c>
      <c r="E16" s="51"/>
      <c r="F16" s="51"/>
      <c r="G16" s="51"/>
    </row>
    <row r="17" spans="1:7" s="29" customFormat="1" x14ac:dyDescent="0.2">
      <c r="A17">
        <v>18</v>
      </c>
      <c r="B17">
        <v>0.9818240132783379</v>
      </c>
      <c r="C17">
        <v>-23.595133557109872</v>
      </c>
      <c r="E17" s="51"/>
      <c r="F17" s="51"/>
      <c r="G17" s="51"/>
    </row>
    <row r="18" spans="1:7" s="29" customFormat="1" x14ac:dyDescent="0.2">
      <c r="A18">
        <v>19</v>
      </c>
      <c r="B18">
        <v>0.97980964030781992</v>
      </c>
      <c r="C18">
        <v>-22.96507866682111</v>
      </c>
      <c r="E18" s="51"/>
      <c r="F18" s="51"/>
      <c r="G18" s="51"/>
    </row>
    <row r="19" spans="1:7" s="29" customFormat="1" x14ac:dyDescent="0.2">
      <c r="A19">
        <v>20</v>
      </c>
      <c r="B19">
        <v>0.95399975971324147</v>
      </c>
      <c r="C19">
        <v>-25.640286450517369</v>
      </c>
      <c r="E19" s="51"/>
      <c r="F19" s="51"/>
      <c r="G19" s="51"/>
    </row>
    <row r="20" spans="1:7" s="29" customFormat="1" x14ac:dyDescent="0.2">
      <c r="A20">
        <v>21</v>
      </c>
      <c r="B20">
        <v>0.95218445111362193</v>
      </c>
      <c r="C20">
        <v>-25.110385412975479</v>
      </c>
      <c r="E20" s="51"/>
      <c r="F20" s="51"/>
      <c r="G20" s="51"/>
    </row>
    <row r="21" spans="1:7" s="29" customFormat="1" x14ac:dyDescent="0.2">
      <c r="A21">
        <v>22</v>
      </c>
      <c r="B21">
        <v>0.96537658127487924</v>
      </c>
      <c r="C21">
        <v>-22.289094000422651</v>
      </c>
      <c r="E21" s="51"/>
      <c r="F21" s="51"/>
      <c r="G21" s="51"/>
    </row>
    <row r="22" spans="1:7" s="29" customFormat="1" x14ac:dyDescent="0.2">
      <c r="A22">
        <v>23</v>
      </c>
      <c r="B22">
        <v>1.009789234091254</v>
      </c>
      <c r="C22">
        <v>-15.42822754574688</v>
      </c>
      <c r="E22" s="51"/>
      <c r="F22" s="51"/>
      <c r="G22" s="51"/>
    </row>
    <row r="23" spans="1:7" s="29" customFormat="1" x14ac:dyDescent="0.2">
      <c r="A23">
        <v>24</v>
      </c>
      <c r="B23">
        <v>1.0141385507367739</v>
      </c>
      <c r="C23">
        <v>-10.813675678264939</v>
      </c>
      <c r="E23" s="51"/>
      <c r="F23" s="51"/>
      <c r="G23" s="51"/>
    </row>
    <row r="24" spans="1:7" s="29" customFormat="1" x14ac:dyDescent="0.2">
      <c r="A24">
        <v>25</v>
      </c>
      <c r="B24">
        <v>1.020871850626534</v>
      </c>
      <c r="C24">
        <v>-18.390808814185672</v>
      </c>
      <c r="E24" s="51"/>
      <c r="F24" s="51"/>
      <c r="G24" s="51"/>
    </row>
    <row r="25" spans="1:7" s="29" customFormat="1" x14ac:dyDescent="0.2">
      <c r="A25">
        <v>26</v>
      </c>
      <c r="B25">
        <v>1.000881374449039</v>
      </c>
      <c r="C25">
        <v>-18.392387316381381</v>
      </c>
      <c r="E25" s="51"/>
      <c r="F25" s="51"/>
      <c r="G25" s="51"/>
    </row>
    <row r="26" spans="1:7" s="29" customFormat="1" x14ac:dyDescent="0.2">
      <c r="A26">
        <v>27</v>
      </c>
      <c r="B26">
        <v>0.99016082196215482</v>
      </c>
      <c r="C26">
        <v>-21.146006206508758</v>
      </c>
      <c r="E26" s="51"/>
      <c r="F26" s="51"/>
      <c r="G26" s="51"/>
    </row>
    <row r="27" spans="1:7" s="29" customFormat="1" x14ac:dyDescent="0.2">
      <c r="A27">
        <v>28</v>
      </c>
      <c r="B27">
        <v>0.97899236868922401</v>
      </c>
      <c r="C27">
        <v>-22.421394536243319</v>
      </c>
      <c r="E27" s="51"/>
      <c r="F27" s="51"/>
      <c r="G27" s="51"/>
    </row>
    <row r="28" spans="1:7" s="29" customFormat="1" x14ac:dyDescent="0.2">
      <c r="A28">
        <v>29</v>
      </c>
      <c r="B28">
        <v>0.98449469912741716</v>
      </c>
      <c r="C28">
        <v>-21.342419680781411</v>
      </c>
      <c r="E28" s="51"/>
      <c r="F28" s="51"/>
      <c r="G28" s="51"/>
    </row>
    <row r="29" spans="1:7" s="29" customFormat="1" x14ac:dyDescent="0.2">
      <c r="A29">
        <v>30</v>
      </c>
      <c r="B29">
        <v>0.98360319882177361</v>
      </c>
      <c r="C29">
        <v>-19.747049480681671</v>
      </c>
      <c r="E29" s="51"/>
      <c r="F29" s="51"/>
      <c r="G29" s="51"/>
    </row>
    <row r="30" spans="1:7" s="29" customFormat="1" x14ac:dyDescent="0.2">
      <c r="A30">
        <v>31</v>
      </c>
      <c r="B30">
        <v>0.99840552137521377</v>
      </c>
      <c r="C30">
        <v>-19.78997742770246</v>
      </c>
      <c r="E30" s="51"/>
      <c r="F30" s="51"/>
      <c r="G30" s="51"/>
    </row>
    <row r="31" spans="1:7" s="29" customFormat="1" x14ac:dyDescent="0.2">
      <c r="A31">
        <v>32</v>
      </c>
      <c r="B31">
        <v>1.0345652860467101</v>
      </c>
      <c r="C31">
        <v>-15.720282581273141</v>
      </c>
      <c r="E31" s="51"/>
      <c r="F31" s="51"/>
      <c r="G31" s="51"/>
    </row>
    <row r="32" spans="1:7" s="29" customFormat="1" x14ac:dyDescent="0.2">
      <c r="A32">
        <v>33</v>
      </c>
      <c r="B32">
        <v>0.98881472888042854</v>
      </c>
      <c r="C32">
        <v>-21.02529575340624</v>
      </c>
      <c r="E32" s="51"/>
      <c r="F32" s="51"/>
      <c r="G32" s="51"/>
    </row>
    <row r="33" spans="1:7" s="29" customFormat="1" x14ac:dyDescent="0.2">
      <c r="A33">
        <v>34</v>
      </c>
      <c r="B33">
        <v>1.024434484514424</v>
      </c>
      <c r="C33">
        <v>-15.01188871735031</v>
      </c>
      <c r="E33" s="51"/>
      <c r="F33" s="51"/>
      <c r="G33" s="51"/>
    </row>
    <row r="34" spans="1:7" s="29" customFormat="1" x14ac:dyDescent="0.2">
      <c r="A34">
        <v>35</v>
      </c>
      <c r="B34">
        <v>1.024949584094625</v>
      </c>
      <c r="C34">
        <v>-14.69113210596409</v>
      </c>
      <c r="E34" s="51"/>
      <c r="F34" s="51"/>
      <c r="G34" s="51"/>
    </row>
    <row r="35" spans="1:7" s="29" customFormat="1" x14ac:dyDescent="0.2">
      <c r="A35">
        <v>36</v>
      </c>
      <c r="B35">
        <v>1.0268264563990579</v>
      </c>
      <c r="C35">
        <v>-14.296731052209489</v>
      </c>
      <c r="E35" s="51"/>
      <c r="F35" s="51"/>
      <c r="G35" s="51"/>
    </row>
    <row r="36" spans="1:7" s="29" customFormat="1" x14ac:dyDescent="0.2">
      <c r="A36">
        <v>37</v>
      </c>
      <c r="B36">
        <v>1.026976303522642</v>
      </c>
      <c r="C36">
        <v>-15.165873437228189</v>
      </c>
      <c r="E36" s="51"/>
      <c r="F36" s="51"/>
      <c r="G36" s="51"/>
    </row>
    <row r="37" spans="1:7" s="29" customFormat="1" x14ac:dyDescent="0.2">
      <c r="A37">
        <v>38</v>
      </c>
      <c r="B37">
        <v>0.99231645823468273</v>
      </c>
      <c r="C37">
        <v>-15.16317861876907</v>
      </c>
      <c r="E37" s="51"/>
      <c r="F37" s="51"/>
      <c r="G37" s="51"/>
    </row>
    <row r="38" spans="1:7" s="29" customFormat="1" x14ac:dyDescent="0.2">
      <c r="A38">
        <v>39</v>
      </c>
      <c r="B38">
        <v>1.0223366309056601</v>
      </c>
      <c r="C38">
        <v>-14.035564888059611</v>
      </c>
      <c r="E38" s="51"/>
      <c r="F38" s="51"/>
      <c r="G38" s="51"/>
    </row>
    <row r="39" spans="1:7" s="29" customFormat="1" x14ac:dyDescent="0.2">
      <c r="A39">
        <v>40</v>
      </c>
      <c r="B39">
        <v>1.0185708120891741</v>
      </c>
      <c r="C39">
        <v>-13.362237792991079</v>
      </c>
      <c r="E39" s="51"/>
      <c r="F39" s="51"/>
      <c r="G39" s="51"/>
    </row>
    <row r="40" spans="1:7" s="29" customFormat="1" x14ac:dyDescent="0.2">
      <c r="A40">
        <v>41</v>
      </c>
      <c r="B40">
        <v>1.005356317063721</v>
      </c>
      <c r="C40">
        <v>-14.387869050546779</v>
      </c>
      <c r="E40" s="51"/>
      <c r="F40" s="51"/>
      <c r="G40" s="51"/>
    </row>
    <row r="41" spans="1:7" s="29" customFormat="1" x14ac:dyDescent="0.2">
      <c r="A41">
        <v>42</v>
      </c>
      <c r="B41">
        <v>1.006085834352916</v>
      </c>
      <c r="C41">
        <v>-12.975907456761361</v>
      </c>
      <c r="E41" s="51"/>
      <c r="F41" s="51"/>
      <c r="G41" s="51"/>
    </row>
    <row r="42" spans="1:7" s="29" customFormat="1" x14ac:dyDescent="0.2">
      <c r="A42">
        <v>43</v>
      </c>
      <c r="B42">
        <v>0.99808884664127218</v>
      </c>
      <c r="C42">
        <v>-15.366510479051071</v>
      </c>
      <c r="E42" s="51"/>
      <c r="F42" s="51"/>
      <c r="G42" s="51"/>
    </row>
    <row r="43" spans="1:7" s="29" customFormat="1" x14ac:dyDescent="0.2">
      <c r="A43">
        <v>44</v>
      </c>
      <c r="B43">
        <v>0.98068383322782016</v>
      </c>
      <c r="C43">
        <v>-11.80721777349863</v>
      </c>
      <c r="E43" s="51"/>
      <c r="F43" s="51"/>
      <c r="G43" s="51"/>
    </row>
    <row r="44" spans="1:7" s="29" customFormat="1" x14ac:dyDescent="0.2">
      <c r="A44">
        <v>45</v>
      </c>
      <c r="B44">
        <v>0.98299469059998412</v>
      </c>
      <c r="C44">
        <v>-9.1306788432474857</v>
      </c>
      <c r="E44" s="51"/>
      <c r="F44" s="51"/>
      <c r="G44" s="51"/>
    </row>
    <row r="45" spans="1:7" s="29" customFormat="1" x14ac:dyDescent="0.2">
      <c r="A45">
        <v>46</v>
      </c>
      <c r="B45">
        <v>1.028121455550884</v>
      </c>
      <c r="C45">
        <v>-1.535353994696081</v>
      </c>
      <c r="E45" s="51"/>
      <c r="F45" s="51"/>
      <c r="G45" s="51"/>
    </row>
    <row r="46" spans="1:7" s="29" customFormat="1" x14ac:dyDescent="0.2">
      <c r="A46">
        <v>47</v>
      </c>
      <c r="B46">
        <v>1.017983708917517</v>
      </c>
      <c r="C46">
        <v>-5.1657247069932124</v>
      </c>
      <c r="E46" s="51"/>
      <c r="F46" s="51"/>
      <c r="G46" s="51"/>
    </row>
    <row r="47" spans="1:7" s="29" customFormat="1" x14ac:dyDescent="0.2">
      <c r="A47">
        <v>48</v>
      </c>
      <c r="B47">
        <v>1.0172496370703259</v>
      </c>
      <c r="C47">
        <v>-5.500488161032969</v>
      </c>
      <c r="E47" s="51"/>
      <c r="F47" s="51"/>
      <c r="G47" s="51"/>
    </row>
    <row r="48" spans="1:7" s="29" customFormat="1" x14ac:dyDescent="0.2">
      <c r="A48">
        <v>49</v>
      </c>
      <c r="B48">
        <v>1.0216381635237171</v>
      </c>
      <c r="C48">
        <v>-5.7192854882188131</v>
      </c>
      <c r="E48" s="51"/>
      <c r="F48" s="51"/>
      <c r="G48" s="51"/>
    </row>
    <row r="49" spans="1:7" s="29" customFormat="1" x14ac:dyDescent="0.2">
      <c r="A49">
        <v>50</v>
      </c>
      <c r="B49">
        <v>1.0021187127112119</v>
      </c>
      <c r="C49">
        <v>-7.8496382984741651</v>
      </c>
      <c r="E49" s="51"/>
      <c r="F49" s="51"/>
      <c r="G49" s="51"/>
    </row>
    <row r="50" spans="1:7" s="29" customFormat="1" x14ac:dyDescent="0.2">
      <c r="A50">
        <v>51</v>
      </c>
      <c r="B50">
        <v>0.97803182398180266</v>
      </c>
      <c r="C50">
        <v>-10.59169455467838</v>
      </c>
      <c r="E50" s="51"/>
      <c r="F50" s="51"/>
      <c r="G50" s="51"/>
    </row>
    <row r="51" spans="1:7" s="29" customFormat="1" x14ac:dyDescent="0.2">
      <c r="A51">
        <v>52</v>
      </c>
      <c r="B51">
        <v>0.96996221189279019</v>
      </c>
      <c r="C51">
        <v>-11.66162474391604</v>
      </c>
      <c r="E51" s="51"/>
      <c r="F51" s="51"/>
      <c r="G51" s="51"/>
    </row>
    <row r="52" spans="1:7" s="29" customFormat="1" x14ac:dyDescent="0.2">
      <c r="A52">
        <v>53</v>
      </c>
      <c r="B52">
        <v>0.97055251797339182</v>
      </c>
      <c r="C52">
        <v>-11.909556488002821</v>
      </c>
      <c r="E52" s="51"/>
      <c r="F52" s="51"/>
      <c r="G52" s="51"/>
    </row>
    <row r="53" spans="1:7" s="29" customFormat="1" x14ac:dyDescent="0.2">
      <c r="A53">
        <v>54</v>
      </c>
      <c r="B53">
        <v>0.98701888761517842</v>
      </c>
      <c r="C53">
        <v>-9.4793331168900163</v>
      </c>
      <c r="E53" s="51"/>
      <c r="F53" s="51"/>
      <c r="G53" s="51"/>
    </row>
    <row r="54" spans="1:7" s="29" customFormat="1" x14ac:dyDescent="0.2">
      <c r="A54">
        <v>55</v>
      </c>
      <c r="B54">
        <v>0.97990427932283108</v>
      </c>
      <c r="C54">
        <v>-10.415116829629881</v>
      </c>
      <c r="E54" s="51"/>
      <c r="F54" s="51"/>
      <c r="G54" s="51"/>
    </row>
    <row r="55" spans="1:7" s="29" customFormat="1" x14ac:dyDescent="0.2">
      <c r="A55">
        <v>56</v>
      </c>
      <c r="B55">
        <v>0.98232450803226368</v>
      </c>
      <c r="C55">
        <v>-10.09209013105114</v>
      </c>
      <c r="E55" s="51"/>
      <c r="F55" s="51"/>
      <c r="G55" s="51"/>
    </row>
    <row r="56" spans="1:7" s="29" customFormat="1" x14ac:dyDescent="0.2">
      <c r="A56">
        <v>57</v>
      </c>
      <c r="B56">
        <v>0.98590776923355561</v>
      </c>
      <c r="C56">
        <v>-9.7587191307414223</v>
      </c>
      <c r="E56" s="51"/>
      <c r="F56" s="51"/>
      <c r="G56" s="51"/>
    </row>
    <row r="57" spans="1:7" s="29" customFormat="1" x14ac:dyDescent="0.2">
      <c r="A57">
        <v>58</v>
      </c>
      <c r="B57">
        <v>0.9761664810496381</v>
      </c>
      <c r="C57">
        <v>-10.833467032395561</v>
      </c>
      <c r="E57" s="51"/>
      <c r="F57" s="51"/>
      <c r="G57" s="51"/>
    </row>
    <row r="58" spans="1:7" s="29" customFormat="1" x14ac:dyDescent="0.2">
      <c r="A58">
        <v>59</v>
      </c>
      <c r="B58">
        <v>1.022016725083408</v>
      </c>
      <c r="C58">
        <v>-5.7205162304770436</v>
      </c>
      <c r="E58" s="51"/>
      <c r="F58" s="51"/>
      <c r="G58" s="51"/>
    </row>
    <row r="59" spans="1:7" s="29" customFormat="1" x14ac:dyDescent="0.2">
      <c r="A59">
        <v>60</v>
      </c>
      <c r="B59">
        <v>1.01820561485917</v>
      </c>
      <c r="C59">
        <v>-7.289216424061375</v>
      </c>
      <c r="E59" s="51"/>
      <c r="F59" s="51"/>
      <c r="G59" s="51"/>
    </row>
    <row r="60" spans="1:7" s="29" customFormat="1" x14ac:dyDescent="0.2">
      <c r="A60">
        <v>61</v>
      </c>
      <c r="B60">
        <v>1.024962917690023</v>
      </c>
      <c r="C60">
        <v>-6.4237149554473287</v>
      </c>
      <c r="E60" s="51"/>
      <c r="F60" s="51"/>
      <c r="G60" s="51"/>
    </row>
    <row r="61" spans="1:7" s="29" customFormat="1" x14ac:dyDescent="0.2">
      <c r="A61">
        <v>62</v>
      </c>
      <c r="B61">
        <v>1.014724903662801</v>
      </c>
      <c r="C61">
        <v>-7.7973399831343908</v>
      </c>
      <c r="E61" s="51"/>
      <c r="F61" s="51"/>
      <c r="G61" s="51"/>
    </row>
    <row r="62" spans="1:7" s="29" customFormat="1" x14ac:dyDescent="0.2">
      <c r="A62">
        <v>63</v>
      </c>
      <c r="B62">
        <v>1.022047335533502</v>
      </c>
      <c r="C62">
        <v>-5.7238809016899399</v>
      </c>
      <c r="E62" s="51"/>
      <c r="F62" s="51"/>
      <c r="G62" s="51"/>
    </row>
    <row r="63" spans="1:7" s="29" customFormat="1" x14ac:dyDescent="0.2">
      <c r="A63">
        <v>64</v>
      </c>
      <c r="B63">
        <v>1.0250041387328379</v>
      </c>
      <c r="C63">
        <v>-6.4136898003064493</v>
      </c>
      <c r="E63" s="51"/>
      <c r="F63" s="51"/>
      <c r="G63" s="51"/>
    </row>
    <row r="64" spans="1:7" s="29" customFormat="1" x14ac:dyDescent="0.2">
      <c r="A64">
        <v>65</v>
      </c>
      <c r="B64">
        <v>1.038177813942041</v>
      </c>
      <c r="C64">
        <v>-4.4665703937090804</v>
      </c>
      <c r="E64" s="51"/>
      <c r="F64" s="51"/>
      <c r="G64" s="51"/>
    </row>
    <row r="65" spans="1:7" s="29" customFormat="1" x14ac:dyDescent="0.2">
      <c r="A65">
        <v>66</v>
      </c>
      <c r="B65">
        <v>1.038131700238464</v>
      </c>
      <c r="C65">
        <v>-4.4771990545933527</v>
      </c>
      <c r="E65" s="51"/>
      <c r="F65" s="51"/>
      <c r="G65" s="51"/>
    </row>
    <row r="66" spans="1:7" s="29" customFormat="1" x14ac:dyDescent="0.2">
      <c r="A66">
        <v>67</v>
      </c>
      <c r="B66">
        <v>1.0180806755665399</v>
      </c>
      <c r="C66">
        <v>-7.2893986818107992</v>
      </c>
      <c r="E66" s="51"/>
      <c r="F66" s="51"/>
      <c r="G66" s="51"/>
    </row>
    <row r="67" spans="1:7" s="29" customFormat="1" x14ac:dyDescent="0.2">
      <c r="A67">
        <v>68</v>
      </c>
      <c r="B67">
        <v>1.0427796081103831</v>
      </c>
      <c r="C67">
        <v>-2.6858853571456578</v>
      </c>
      <c r="E67" s="51"/>
      <c r="F67" s="51"/>
      <c r="G67" s="51"/>
    </row>
    <row r="68" spans="1:7" s="29" customFormat="1" x14ac:dyDescent="0.2">
      <c r="A68">
        <v>69</v>
      </c>
      <c r="B68">
        <v>1.0427204522496749</v>
      </c>
      <c r="C68">
        <v>-2.6880197843633709</v>
      </c>
      <c r="E68" s="51"/>
      <c r="F68" s="51"/>
      <c r="G68" s="51"/>
    </row>
    <row r="69" spans="1:7" s="29" customFormat="1" x14ac:dyDescent="0.2">
      <c r="A69">
        <v>70</v>
      </c>
      <c r="B69">
        <v>1.003431770920024</v>
      </c>
      <c r="C69">
        <v>-2.437855444651277</v>
      </c>
      <c r="E69" s="51"/>
      <c r="F69" s="51"/>
      <c r="G69" s="51"/>
    </row>
    <row r="70" spans="1:7" s="29" customFormat="1" x14ac:dyDescent="0.2">
      <c r="A70">
        <v>71</v>
      </c>
      <c r="B70">
        <v>1.0151164118647831</v>
      </c>
      <c r="C70">
        <v>-7.9011140088376161E-2</v>
      </c>
      <c r="E70" s="51"/>
      <c r="F70" s="51"/>
      <c r="G70" s="51"/>
    </row>
    <row r="71" spans="1:7" s="29" customFormat="1" x14ac:dyDescent="0.2">
      <c r="A71">
        <v>72</v>
      </c>
      <c r="B71">
        <v>1.0416766910000901</v>
      </c>
      <c r="C71">
        <v>3.3576357995765722</v>
      </c>
      <c r="E71" s="51"/>
      <c r="F71" s="51"/>
      <c r="G71" s="51"/>
    </row>
    <row r="72" spans="1:7" s="29" customFormat="1" x14ac:dyDescent="0.2">
      <c r="A72">
        <v>73</v>
      </c>
      <c r="B72">
        <v>1.021948794885799</v>
      </c>
      <c r="C72">
        <v>2.0174984451685369</v>
      </c>
      <c r="E72" s="51"/>
      <c r="F72" s="51"/>
      <c r="G72" s="51"/>
    </row>
    <row r="73" spans="1:7" s="29" customFormat="1" x14ac:dyDescent="0.2">
      <c r="A73">
        <v>74</v>
      </c>
      <c r="B73">
        <v>0.95883916600784658</v>
      </c>
      <c r="C73">
        <v>-7.4547535941854646</v>
      </c>
      <c r="E73" s="51"/>
      <c r="F73" s="51"/>
      <c r="G73" s="51"/>
    </row>
    <row r="74" spans="1:7" s="29" customFormat="1" x14ac:dyDescent="0.2">
      <c r="A74">
        <v>75</v>
      </c>
      <c r="B74">
        <v>0.98361105632313106</v>
      </c>
      <c r="C74">
        <v>-4.9867627303631874</v>
      </c>
      <c r="E74" s="51"/>
      <c r="F74" s="51"/>
      <c r="G74" s="51"/>
    </row>
    <row r="75" spans="1:7" x14ac:dyDescent="0.2">
      <c r="A75">
        <v>76</v>
      </c>
      <c r="B75">
        <v>1.0321895998935131</v>
      </c>
      <c r="C75">
        <v>2.7236349756898739</v>
      </c>
      <c r="D75" s="29"/>
    </row>
    <row r="76" spans="1:7" x14ac:dyDescent="0.2">
      <c r="A76">
        <v>77</v>
      </c>
      <c r="B76">
        <v>1.041936100330741</v>
      </c>
      <c r="C76">
        <v>-5.0195446926311442E-2</v>
      </c>
      <c r="D76" s="29"/>
    </row>
    <row r="77" spans="1:7" x14ac:dyDescent="0.2">
      <c r="A77">
        <v>78</v>
      </c>
      <c r="B77">
        <v>1.0343039676163901</v>
      </c>
      <c r="C77">
        <v>-0.92269750474894341</v>
      </c>
      <c r="D77" s="29"/>
    </row>
    <row r="78" spans="1:7" x14ac:dyDescent="0.2">
      <c r="A78">
        <v>79</v>
      </c>
      <c r="B78">
        <v>1.0332851135784229</v>
      </c>
      <c r="C78">
        <v>-1.260226143708582</v>
      </c>
      <c r="D78" s="29"/>
    </row>
    <row r="79" spans="1:7" x14ac:dyDescent="0.2">
      <c r="A79">
        <v>80</v>
      </c>
      <c r="B79">
        <v>1.047744917163979</v>
      </c>
      <c r="C79">
        <v>-4.6705305367108325E-16</v>
      </c>
      <c r="D79" s="29"/>
    </row>
    <row r="80" spans="1:7" x14ac:dyDescent="0.2">
      <c r="A80">
        <v>81</v>
      </c>
      <c r="B80">
        <v>1.0477777858450401</v>
      </c>
      <c r="C80">
        <v>-1.3208288884226951E-2</v>
      </c>
      <c r="D80" s="29"/>
    </row>
    <row r="81" spans="1:4" x14ac:dyDescent="0.2">
      <c r="A81">
        <v>82</v>
      </c>
      <c r="B81">
        <v>0.94546992777962446</v>
      </c>
      <c r="C81">
        <v>-8.7047331270539949</v>
      </c>
      <c r="D81" s="29"/>
    </row>
    <row r="82" spans="1:4" x14ac:dyDescent="0.2">
      <c r="A82">
        <v>83</v>
      </c>
      <c r="B82">
        <v>0.94219042372429451</v>
      </c>
      <c r="C82">
        <v>-8.9734016352679653</v>
      </c>
      <c r="D82" s="29"/>
    </row>
    <row r="83" spans="1:4" x14ac:dyDescent="0.2">
      <c r="A83">
        <v>84</v>
      </c>
      <c r="B83">
        <v>0.95385951539099467</v>
      </c>
      <c r="C83">
        <v>-7.2805274031388203</v>
      </c>
      <c r="D83" s="29"/>
    </row>
    <row r="84" spans="1:4" x14ac:dyDescent="0.2">
      <c r="A84">
        <v>85</v>
      </c>
      <c r="B84">
        <v>0.979012988016702</v>
      </c>
      <c r="C84">
        <v>-4.9142195241020232</v>
      </c>
      <c r="D84" s="29"/>
    </row>
    <row r="85" spans="1:4" x14ac:dyDescent="0.2">
      <c r="A85">
        <v>86</v>
      </c>
      <c r="B85">
        <v>0.92105417508160858</v>
      </c>
      <c r="C85">
        <v>-11.049101539028189</v>
      </c>
      <c r="D85" s="29"/>
    </row>
    <row r="86" spans="1:4" x14ac:dyDescent="0.2">
      <c r="A86">
        <v>88</v>
      </c>
      <c r="B86">
        <v>0.9892837491929487</v>
      </c>
      <c r="C86">
        <v>-3.1519987578915321</v>
      </c>
      <c r="D86" s="29"/>
    </row>
    <row r="87" spans="1:4" x14ac:dyDescent="0.2">
      <c r="A87">
        <v>89</v>
      </c>
      <c r="B87">
        <v>1.060326679675462</v>
      </c>
      <c r="C87">
        <v>5.0979824555130113</v>
      </c>
      <c r="D87" s="29"/>
    </row>
    <row r="88" spans="1:4" x14ac:dyDescent="0.2">
      <c r="A88">
        <v>90</v>
      </c>
      <c r="B88">
        <v>1.0481740465500491</v>
      </c>
      <c r="C88">
        <v>3.4966841753159992</v>
      </c>
      <c r="D88" s="29"/>
    </row>
    <row r="89" spans="1:4" x14ac:dyDescent="0.2">
      <c r="A89">
        <v>91</v>
      </c>
      <c r="B89">
        <v>1.051137848094807</v>
      </c>
      <c r="C89">
        <v>3.545080884336941</v>
      </c>
      <c r="D89" s="29"/>
    </row>
    <row r="90" spans="1:4" x14ac:dyDescent="0.2">
      <c r="A90">
        <v>92</v>
      </c>
      <c r="B90">
        <v>1.052036438192276</v>
      </c>
      <c r="C90">
        <v>3.678268180153017</v>
      </c>
      <c r="D90" s="29"/>
    </row>
    <row r="91" spans="1:4" x14ac:dyDescent="0.2">
      <c r="A91">
        <v>93</v>
      </c>
      <c r="B91">
        <v>1.0007022157858969</v>
      </c>
      <c r="C91">
        <v>-1.233481656130919</v>
      </c>
      <c r="D91" s="29"/>
    </row>
    <row r="92" spans="1:4" x14ac:dyDescent="0.2">
      <c r="A92">
        <v>94</v>
      </c>
      <c r="B92">
        <v>0.97680667810994637</v>
      </c>
      <c r="C92">
        <v>-3.8638470596477239</v>
      </c>
      <c r="D92" s="29"/>
    </row>
    <row r="93" spans="1:4" x14ac:dyDescent="0.2">
      <c r="A93">
        <v>95</v>
      </c>
      <c r="B93">
        <v>0.94633273786789052</v>
      </c>
      <c r="C93">
        <v>-7.7745796126574849</v>
      </c>
      <c r="D93" s="29"/>
    </row>
    <row r="94" spans="1:4" x14ac:dyDescent="0.2">
      <c r="A94">
        <v>96</v>
      </c>
      <c r="B94">
        <v>0.95876530792659154</v>
      </c>
      <c r="C94">
        <v>-7.4182775147814226</v>
      </c>
      <c r="D94" s="29"/>
    </row>
    <row r="95" spans="1:4" x14ac:dyDescent="0.2">
      <c r="A95">
        <v>97</v>
      </c>
      <c r="B95">
        <v>0.9966602366956907</v>
      </c>
      <c r="C95">
        <v>-4.2559318428395212</v>
      </c>
      <c r="D95" s="29"/>
    </row>
    <row r="96" spans="1:4" x14ac:dyDescent="0.2">
      <c r="A96">
        <v>98</v>
      </c>
      <c r="B96">
        <v>1.027248511810237</v>
      </c>
      <c r="C96">
        <v>-1.1367419705392789</v>
      </c>
      <c r="D96" s="29"/>
    </row>
    <row r="97" spans="1:4" x14ac:dyDescent="0.2">
      <c r="A97">
        <v>99</v>
      </c>
      <c r="B97">
        <v>1.0359194245407639</v>
      </c>
      <c r="C97">
        <v>1.437291596770254</v>
      </c>
      <c r="D97" s="29"/>
    </row>
    <row r="98" spans="1:4" x14ac:dyDescent="0.2">
      <c r="A98">
        <v>100</v>
      </c>
      <c r="B98">
        <v>1.0282422350664731</v>
      </c>
      <c r="C98">
        <v>2.055197707815108</v>
      </c>
      <c r="D98" s="29"/>
    </row>
    <row r="99" spans="1:4" x14ac:dyDescent="0.2">
      <c r="A99">
        <v>101</v>
      </c>
      <c r="B99">
        <v>1.0113393471173631</v>
      </c>
      <c r="C99">
        <v>-0.77714207257402734</v>
      </c>
      <c r="D99" s="29"/>
    </row>
    <row r="100" spans="1:4" x14ac:dyDescent="0.2">
      <c r="A100">
        <v>102</v>
      </c>
      <c r="B100">
        <v>1.0356163400769121</v>
      </c>
      <c r="C100">
        <v>1.849419085963921</v>
      </c>
      <c r="D100" s="29"/>
    </row>
    <row r="101" spans="1:4" x14ac:dyDescent="0.2">
      <c r="A101">
        <v>103</v>
      </c>
      <c r="B101">
        <v>0.99980679305973896</v>
      </c>
      <c r="C101">
        <v>1.005245727798411</v>
      </c>
      <c r="D101" s="29"/>
    </row>
    <row r="102" spans="1:4" x14ac:dyDescent="0.2">
      <c r="A102">
        <v>104</v>
      </c>
      <c r="B102">
        <v>0.9802103093310206</v>
      </c>
      <c r="C102">
        <v>0.40303825496575202</v>
      </c>
      <c r="D102" s="29"/>
    </row>
    <row r="103" spans="1:4" x14ac:dyDescent="0.2">
      <c r="A103">
        <v>105</v>
      </c>
      <c r="B103">
        <v>0.99265881522786348</v>
      </c>
      <c r="C103">
        <v>3.1395190282107368</v>
      </c>
      <c r="D103" s="29"/>
    </row>
    <row r="104" spans="1:4" x14ac:dyDescent="0.2">
      <c r="A104">
        <v>106</v>
      </c>
      <c r="B104">
        <v>0.97769295096694331</v>
      </c>
      <c r="C104">
        <v>1.5795104745187929</v>
      </c>
      <c r="D104" s="29"/>
    </row>
    <row r="105" spans="1:4" x14ac:dyDescent="0.2">
      <c r="A105">
        <v>107</v>
      </c>
      <c r="B105">
        <v>1.050578933641614</v>
      </c>
      <c r="C105">
        <v>12.90807295821287</v>
      </c>
      <c r="D105" s="29"/>
    </row>
    <row r="106" spans="1:4" x14ac:dyDescent="0.2">
      <c r="A106">
        <v>108</v>
      </c>
      <c r="B106">
        <v>0.98823647037282836</v>
      </c>
      <c r="C106">
        <v>3.0304276968743422</v>
      </c>
      <c r="D106" s="29"/>
    </row>
    <row r="107" spans="1:4" x14ac:dyDescent="0.2">
      <c r="A107">
        <v>109</v>
      </c>
      <c r="B107">
        <v>0.98736900443536157</v>
      </c>
      <c r="C107">
        <v>3.1162984644983411</v>
      </c>
      <c r="D107" s="29"/>
    </row>
    <row r="108" spans="1:4" x14ac:dyDescent="0.2">
      <c r="A108">
        <v>110</v>
      </c>
      <c r="B108">
        <v>0.99821636097915534</v>
      </c>
      <c r="C108">
        <v>4.6570663370888026</v>
      </c>
      <c r="D108" s="29"/>
    </row>
    <row r="109" spans="1:4" x14ac:dyDescent="0.2">
      <c r="A109">
        <v>112</v>
      </c>
      <c r="B109">
        <v>1.0157561587748429</v>
      </c>
      <c r="C109">
        <v>7.0159130848842368</v>
      </c>
      <c r="D109" s="29"/>
    </row>
    <row r="110" spans="1:4" x14ac:dyDescent="0.2">
      <c r="A110">
        <v>113</v>
      </c>
      <c r="B110">
        <v>1.057108754514599</v>
      </c>
      <c r="C110">
        <v>-15.100494662586421</v>
      </c>
      <c r="D110" s="29"/>
    </row>
    <row r="111" spans="1:4" x14ac:dyDescent="0.2">
      <c r="A111">
        <v>114</v>
      </c>
      <c r="B111">
        <v>1.0039259513143299</v>
      </c>
      <c r="C111">
        <v>-19.360914677033261</v>
      </c>
      <c r="D111" s="29"/>
    </row>
    <row r="112" spans="1:4" x14ac:dyDescent="0.2">
      <c r="A112">
        <v>115</v>
      </c>
      <c r="B112">
        <v>0.99996156144550774</v>
      </c>
      <c r="C112">
        <v>-19.87628997472066</v>
      </c>
      <c r="D112" s="29"/>
    </row>
    <row r="113" spans="1:4" x14ac:dyDescent="0.2">
      <c r="A113">
        <v>117</v>
      </c>
      <c r="B113">
        <v>1.0168868109548701</v>
      </c>
      <c r="C113">
        <v>-22.66119490216235</v>
      </c>
      <c r="D113" s="29"/>
    </row>
    <row r="114" spans="1:4" x14ac:dyDescent="0.2">
      <c r="A114">
        <v>118</v>
      </c>
      <c r="B114">
        <v>0.99759130725918777</v>
      </c>
      <c r="C114">
        <v>-2.0021547407930029</v>
      </c>
      <c r="D114" s="29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workbookViewId="0">
      <selection activeCell="I25" sqref="I25"/>
    </sheetView>
  </sheetViews>
  <sheetFormatPr defaultRowHeight="12.75" x14ac:dyDescent="0.2"/>
  <cols>
    <col min="1" max="2" width="9.140625" style="1"/>
    <col min="3" max="4" width="9.140625" style="46"/>
    <col min="5" max="6" width="9.140625" style="1"/>
    <col min="7" max="10" width="9.140625" style="2"/>
    <col min="11" max="16384" width="9.140625" style="1"/>
  </cols>
  <sheetData>
    <row r="1" spans="1:8" x14ac:dyDescent="0.2">
      <c r="A1" s="32" t="s">
        <v>0</v>
      </c>
      <c r="B1" s="38" t="s">
        <v>55</v>
      </c>
      <c r="C1" s="38" t="s">
        <v>68</v>
      </c>
      <c r="D1" s="38" t="s">
        <v>67</v>
      </c>
      <c r="E1" s="38" t="s">
        <v>73</v>
      </c>
      <c r="F1" s="38" t="s">
        <v>74</v>
      </c>
    </row>
    <row r="2" spans="1:8" x14ac:dyDescent="0.2">
      <c r="A2" s="42"/>
      <c r="C2" s="47"/>
      <c r="D2" s="47"/>
      <c r="G2" s="45"/>
      <c r="H2" s="45"/>
    </row>
    <row r="3" spans="1:8" x14ac:dyDescent="0.2">
      <c r="A3" s="42"/>
      <c r="C3" s="47"/>
      <c r="D3" s="47"/>
      <c r="G3" s="45"/>
      <c r="H3" s="45"/>
    </row>
    <row r="4" spans="1:8" x14ac:dyDescent="0.2">
      <c r="A4" s="42"/>
      <c r="C4" s="47"/>
      <c r="D4" s="47"/>
      <c r="G4" s="45"/>
      <c r="H4" s="45"/>
    </row>
    <row r="5" spans="1:8" x14ac:dyDescent="0.2">
      <c r="A5" s="42"/>
      <c r="C5" s="47"/>
      <c r="D5" s="47"/>
      <c r="G5" s="45"/>
      <c r="H5" s="45"/>
    </row>
    <row r="6" spans="1:8" x14ac:dyDescent="0.2">
      <c r="A6" s="42"/>
      <c r="C6" s="47"/>
      <c r="D6" s="47"/>
      <c r="G6" s="45"/>
      <c r="H6" s="45"/>
    </row>
    <row r="7" spans="1:8" x14ac:dyDescent="0.2">
      <c r="A7" s="42"/>
      <c r="C7" s="47"/>
      <c r="D7" s="47"/>
      <c r="G7" s="45"/>
      <c r="H7" s="45"/>
    </row>
    <row r="8" spans="1:8" x14ac:dyDescent="0.2">
      <c r="A8" s="42"/>
      <c r="C8" s="47"/>
      <c r="D8" s="47"/>
      <c r="G8" s="45"/>
      <c r="H8" s="45"/>
    </row>
    <row r="9" spans="1:8" x14ac:dyDescent="0.2">
      <c r="A9" s="42"/>
      <c r="C9" s="47"/>
      <c r="D9" s="47"/>
      <c r="G9" s="45"/>
      <c r="H9" s="45"/>
    </row>
    <row r="10" spans="1:8" x14ac:dyDescent="0.2">
      <c r="A10" s="42"/>
      <c r="C10" s="47"/>
      <c r="D10" s="47"/>
      <c r="G10" s="45"/>
      <c r="H10" s="45"/>
    </row>
    <row r="11" spans="1:8" x14ac:dyDescent="0.2">
      <c r="A11" s="42"/>
      <c r="C11" s="47"/>
      <c r="D11" s="47"/>
      <c r="G11" s="45"/>
      <c r="H11" s="45"/>
    </row>
    <row r="12" spans="1:8" x14ac:dyDescent="0.2">
      <c r="A12" s="42"/>
      <c r="C12" s="47"/>
      <c r="D12" s="47"/>
      <c r="G12" s="45"/>
      <c r="H12" s="45"/>
    </row>
    <row r="13" spans="1:8" x14ac:dyDescent="0.2">
      <c r="A13" s="55"/>
      <c r="B13" s="2"/>
      <c r="C13" s="56"/>
      <c r="D13" s="57"/>
      <c r="E13" s="2"/>
      <c r="F13" s="2"/>
      <c r="G13" s="45"/>
      <c r="H13" s="45"/>
    </row>
    <row r="14" spans="1:8" x14ac:dyDescent="0.2">
      <c r="A14" s="42"/>
      <c r="C14" s="47"/>
      <c r="D14" s="47"/>
      <c r="G14" s="45"/>
      <c r="H14" s="45"/>
    </row>
    <row r="15" spans="1:8" x14ac:dyDescent="0.2">
      <c r="A15" s="42"/>
      <c r="C15" s="47"/>
      <c r="D15" s="47"/>
      <c r="G15" s="45"/>
      <c r="H15" s="45"/>
    </row>
    <row r="16" spans="1:8" x14ac:dyDescent="0.2">
      <c r="A16" s="42"/>
      <c r="C16" s="47"/>
      <c r="D16" s="47"/>
      <c r="G16" s="45"/>
      <c r="H16" s="45"/>
    </row>
    <row r="17" spans="1:8" x14ac:dyDescent="0.2">
      <c r="A17" s="42"/>
      <c r="C17" s="47"/>
      <c r="D17" s="47"/>
      <c r="G17" s="45"/>
      <c r="H17" s="45"/>
    </row>
    <row r="18" spans="1:8" x14ac:dyDescent="0.2">
      <c r="A18" s="42"/>
      <c r="C18" s="47"/>
      <c r="D18" s="47"/>
      <c r="G18" s="45"/>
      <c r="H18" s="45"/>
    </row>
    <row r="19" spans="1:8" x14ac:dyDescent="0.2">
      <c r="A19" s="42"/>
      <c r="C19" s="47"/>
      <c r="D19" s="47"/>
      <c r="G19" s="45"/>
      <c r="H19" s="45"/>
    </row>
    <row r="20" spans="1:8" x14ac:dyDescent="0.2">
      <c r="A20" s="42"/>
      <c r="C20" s="47"/>
      <c r="D20" s="47"/>
      <c r="G20" s="45"/>
      <c r="H20" s="45"/>
    </row>
    <row r="21" spans="1:8" x14ac:dyDescent="0.2">
      <c r="A21" s="42"/>
      <c r="C21" s="47"/>
      <c r="D21" s="47"/>
      <c r="G21" s="45"/>
      <c r="H21" s="45"/>
    </row>
    <row r="22" spans="1:8" x14ac:dyDescent="0.2">
      <c r="A22" s="42"/>
      <c r="C22" s="47"/>
      <c r="D22" s="47"/>
      <c r="G22" s="45"/>
      <c r="H22" s="45"/>
    </row>
    <row r="23" spans="1:8" x14ac:dyDescent="0.2">
      <c r="A23" s="42"/>
      <c r="C23" s="47"/>
      <c r="D23" s="47"/>
      <c r="G23" s="45"/>
      <c r="H23" s="45"/>
    </row>
    <row r="24" spans="1:8" x14ac:dyDescent="0.2">
      <c r="A24" s="42"/>
      <c r="C24" s="47"/>
      <c r="D24" s="47"/>
      <c r="G24" s="45"/>
      <c r="H24" s="45"/>
    </row>
    <row r="25" spans="1:8" x14ac:dyDescent="0.2">
      <c r="A25" s="42"/>
      <c r="C25" s="47"/>
      <c r="D25" s="47"/>
      <c r="G25" s="45"/>
      <c r="H25" s="45"/>
    </row>
    <row r="26" spans="1:8" x14ac:dyDescent="0.2">
      <c r="A26" s="42"/>
      <c r="C26" s="47"/>
      <c r="D26" s="47"/>
      <c r="G26" s="45"/>
      <c r="H26" s="45"/>
    </row>
    <row r="27" spans="1:8" x14ac:dyDescent="0.2">
      <c r="A27" s="42"/>
      <c r="C27" s="47"/>
      <c r="D27" s="47"/>
      <c r="G27" s="45"/>
      <c r="H27" s="45"/>
    </row>
    <row r="28" spans="1:8" x14ac:dyDescent="0.2">
      <c r="A28" s="42"/>
      <c r="C28" s="47"/>
      <c r="D28" s="47"/>
      <c r="G28" s="45"/>
      <c r="H28" s="45"/>
    </row>
    <row r="29" spans="1:8" x14ac:dyDescent="0.2">
      <c r="A29" s="42"/>
      <c r="C29" s="47"/>
      <c r="D29" s="47"/>
      <c r="G29" s="45"/>
      <c r="H29" s="4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L12" sqref="L12"/>
    </sheetView>
  </sheetViews>
  <sheetFormatPr defaultRowHeight="12.75" x14ac:dyDescent="0.2"/>
  <cols>
    <col min="1" max="16384" width="9.140625" style="1"/>
  </cols>
  <sheetData>
    <row r="1" spans="1:7" s="20" customFormat="1" x14ac:dyDescent="0.2">
      <c r="A1" s="32" t="s">
        <v>50</v>
      </c>
      <c r="B1" s="32" t="s">
        <v>53</v>
      </c>
      <c r="C1" s="32" t="s">
        <v>56</v>
      </c>
      <c r="D1" s="32" t="s">
        <v>51</v>
      </c>
      <c r="E1" s="32" t="s">
        <v>52</v>
      </c>
      <c r="F1" s="32" t="s">
        <v>54</v>
      </c>
      <c r="G1" s="32" t="s">
        <v>79</v>
      </c>
    </row>
    <row r="2" spans="1:7" s="31" customFormat="1" x14ac:dyDescent="0.2">
      <c r="A2" s="37" t="s">
        <v>57</v>
      </c>
      <c r="B2" s="37" t="s">
        <v>93</v>
      </c>
      <c r="C2" s="36">
        <v>1E-4</v>
      </c>
      <c r="D2" s="36">
        <v>1.0000000000000001E-5</v>
      </c>
      <c r="E2" s="31">
        <v>2</v>
      </c>
      <c r="F2" s="31">
        <v>1</v>
      </c>
      <c r="G2" s="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global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PF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2024-03-04T13:06:26Z</dcterms:modified>
  <dc:language>en-US</dc:language>
</cp:coreProperties>
</file>